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styles.xml" ContentType="application/vnd.openxmlformats-officedocument.spreadsheetml.styles+xml"/>
  <Override PartName="/xl/comments1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comments5.xml" ContentType="application/vnd.openxmlformats-officedocument.spreadsheetml.comments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omments6.xml" ContentType="application/vnd.openxmlformats-officedocument.spreadsheetml.comments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comments7.xml" ContentType="application/vnd.openxmlformats-officedocument.spreadsheetml.comments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comments8.xml" ContentType="application/vnd.openxmlformats-officedocument.spreadsheetml.comments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6="http://schemas.microsoft.com/office/spreadsheetml/2016/revision6" mc:Ignorable="x15 xr xr6 xr10">
  <fileVersion appName="xl" lastEdited="7" lowestEdited="7" rupBuild="22730"/>
  <workbookPr codeName="ThisWorkbook"/>
  <mc:AlternateContent xmlns:mc="http://schemas.openxmlformats.org/markup-compatibility/2006">
    <mc:Choice Requires="x15">
      <x15ac:absPath xmlns:x15ac="http://schemas.microsoft.com/office/spreadsheetml/2010/11/ac" url="C:\VEDA\Training material\DemoS_012\"/>
    </mc:Choice>
  </mc:AlternateContent>
  <bookViews>
    <workbookView xWindow="1905" yWindow="1905" windowWidth="21600" windowHeight="11385" tabRatio="901" activeTab="0"/>
  </bookViews>
  <sheets>
    <sheet name="EB2" sheetId="133" r:id="rId3"/>
    <sheet name="RES_RCA" sheetId="156" r:id="rId4"/>
    <sheet name="Sector_Fuels_AGR" sheetId="154" r:id="rId5"/>
    <sheet name="DemTechs_AGR" sheetId="155" r:id="rId6"/>
    <sheet name="Sector_Fuels_COM" sheetId="152" r:id="rId7"/>
    <sheet name="DemTechs_COM" sheetId="153" r:id="rId8"/>
    <sheet name="Sector_Fuels_RSD" sheetId="140" r:id="rId9"/>
    <sheet name="DemTechs_RSD" sheetId="138" r:id="rId10"/>
    <sheet name="Demands" sheetId="134" r:id="rId11"/>
    <sheet name="Emi" sheetId="149" r:id="rId12"/>
  </sheets>
  <externalReferences>
    <externalReference r:id="rId14"/>
    <externalReference r:id="rId15"/>
  </externalReferences>
  <definedNames>
    <definedName name="FID_1">[1]AGR_Fuels!$A$2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5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>
      <text>
        <r>
          <rPr>
            <sz val="9"/>
            <rFont val="Tahoma"/>
            <family val="2"/>
          </rPr>
          <t>Includes fisheries consumption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O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R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P13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1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R13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J14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L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Q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R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S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T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R9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S9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T9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L10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O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R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P13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1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R13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J14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R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T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U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S11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T11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U11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M12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O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R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P13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Q1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R13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J14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>
      <text>
        <r>
          <rPr>
            <sz val="8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rFont val="Tahoma"/>
            <family val="2"/>
          </rPr>
          <t>NRG</t>
        </r>
        <r>
          <rPr>
            <sz val="8"/>
            <rFont val="Tahoma"/>
            <family val="2"/>
          </rPr>
          <t xml:space="preserve"> (Energy)
</t>
        </r>
        <r>
          <rPr>
            <b/>
            <sz val="8"/>
            <rFont val="Tahoma"/>
            <family val="2"/>
          </rPr>
          <t>ENV</t>
        </r>
        <r>
          <rPr>
            <sz val="8"/>
            <rFont val="Tahoma"/>
            <family val="2"/>
          </rPr>
          <t xml:space="preserve"> (Emission)
</t>
        </r>
        <r>
          <rPr>
            <b/>
            <sz val="8"/>
            <rFont val="Tahoma"/>
            <family val="2"/>
          </rPr>
          <t>DEM</t>
        </r>
        <r>
          <rPr>
            <sz val="8"/>
            <rFont val="Tahoma"/>
            <family val="2"/>
          </rPr>
          <t xml:space="preserve"> (Demand)
</t>
        </r>
        <r>
          <rPr>
            <b/>
            <sz val="8"/>
            <rFont val="Tahoma"/>
            <family val="2"/>
          </rPr>
          <t>MAT</t>
        </r>
        <r>
          <rPr>
            <sz val="8"/>
            <rFont val="Tahoma"/>
            <family val="2"/>
          </rPr>
          <t xml:space="preserve"> (Material)
</t>
        </r>
        <r>
          <rPr>
            <b/>
            <sz val="8"/>
            <rFont val="Tahoma"/>
            <family val="2"/>
          </rPr>
          <t>FIN</t>
        </r>
        <r>
          <rPr>
            <sz val="8"/>
            <rFont val="Tahoma"/>
            <family val="2"/>
          </rPr>
          <t xml:space="preserve"> (Financial)</t>
        </r>
      </text>
    </comment>
    <comment ref="R3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>
      <text>
        <r>
          <rPr>
            <sz val="8"/>
            <rFont val="Tahoma"/>
            <family val="2"/>
          </rPr>
          <t>Allowed CTSLvl</t>
        </r>
        <r>
          <rPr>
            <b/>
            <sz val="8"/>
            <rFont val="Tahoma"/>
            <family val="2"/>
          </rPr>
          <t xml:space="preserve">
SEASON</t>
        </r>
        <r>
          <rPr>
            <sz val="8"/>
            <rFont val="Tahoma"/>
            <family val="2"/>
          </rPr>
          <t xml:space="preserve"> (Seasonal level)</t>
        </r>
        <r>
          <rPr>
            <b/>
            <sz val="8"/>
            <rFont val="Tahoma"/>
            <family val="2"/>
          </rPr>
          <t xml:space="preserve">
WEEKLY</t>
        </r>
        <r>
          <rPr>
            <sz val="8"/>
            <rFont val="Tahoma"/>
            <family val="2"/>
          </rPr>
          <t xml:space="preserve"> (Weekly level)</t>
        </r>
        <r>
          <rPr>
            <b/>
            <sz val="8"/>
            <rFont val="Tahoma"/>
            <family val="2"/>
          </rPr>
          <t xml:space="preserve">
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T3" authorId="2">
      <text>
        <r>
          <rPr>
            <sz val="8"/>
            <rFont val="Tahoma"/>
            <family val="2"/>
          </rPr>
          <t>Allowed PeakTS</t>
        </r>
        <r>
          <rPr>
            <b/>
            <sz val="8"/>
            <rFont val="Tahoma"/>
            <family val="2"/>
          </rPr>
          <t xml:space="preserve">
ANNUAL </t>
        </r>
        <r>
          <rPr>
            <sz val="8"/>
            <rFont val="Tahoma"/>
            <family val="2"/>
          </rPr>
          <t>(to generate Peak Equation for all the TimeSlices)</t>
        </r>
        <r>
          <rPr>
            <b/>
            <sz val="8"/>
            <rFont val="Tahoma"/>
            <family val="2"/>
          </rPr>
          <t xml:space="preserve">
User TS </t>
        </r>
        <r>
          <rPr>
            <sz val="8"/>
            <rFont val="Tahoma"/>
            <family val="2"/>
          </rPr>
          <t>(to generate Peak Equation for a single TS)</t>
        </r>
      </text>
    </comment>
    <comment ref="U3" authorId="2">
      <text>
        <r>
          <rPr>
            <sz val="8"/>
            <rFont val="Tahoma"/>
            <family val="2"/>
          </rPr>
          <t xml:space="preserve">Allowed Ctype
</t>
        </r>
        <r>
          <rPr>
            <b/>
            <sz val="8"/>
            <rFont val="Tahoma"/>
            <family val="2"/>
          </rPr>
          <t>ELC</t>
        </r>
        <r>
          <rPr>
            <sz val="8"/>
            <rFont val="Tahoma"/>
            <family val="2"/>
          </rPr>
          <t xml:space="preserve"> (Electricity)</t>
        </r>
      </text>
    </comment>
    <comment ref="S11" authorId="2">
      <text>
        <r>
          <rPr>
            <sz val="8"/>
            <rFont val="Tahoma"/>
            <family val="2"/>
          </rPr>
          <t xml:space="preserve">Allowed TsLvl
</t>
        </r>
        <r>
          <rPr>
            <b/>
            <sz val="8"/>
            <rFont val="Tahoma"/>
            <family val="2"/>
          </rPr>
          <t>ANNUAL</t>
        </r>
        <r>
          <rPr>
            <sz val="8"/>
            <rFont val="Tahoma"/>
            <family val="2"/>
          </rPr>
          <t xml:space="preserve"> (Annual level)
</t>
        </r>
        <r>
          <rPr>
            <b/>
            <sz val="8"/>
            <rFont val="Tahoma"/>
            <family val="2"/>
          </rPr>
          <t>SEASON</t>
        </r>
        <r>
          <rPr>
            <sz val="8"/>
            <rFont val="Tahoma"/>
            <family val="2"/>
          </rPr>
          <t xml:space="preserve"> (Seasonal level)
</t>
        </r>
        <r>
          <rPr>
            <b/>
            <sz val="8"/>
            <rFont val="Tahoma"/>
            <family val="2"/>
          </rPr>
          <t>WEEKLY</t>
        </r>
        <r>
          <rPr>
            <sz val="8"/>
            <rFont val="Tahoma"/>
            <family val="2"/>
          </rPr>
          <t xml:space="preserve"> (Weekly level)
</t>
        </r>
        <r>
          <rPr>
            <b/>
            <sz val="8"/>
            <rFont val="Tahoma"/>
            <family val="2"/>
          </rPr>
          <t>DAYNITE</t>
        </r>
        <r>
          <rPr>
            <sz val="8"/>
            <rFont val="Tahoma"/>
            <family val="2"/>
          </rPr>
          <t xml:space="preserve"> (day and night level)</t>
        </r>
      </text>
    </comment>
    <comment ref="T11" authorId="1">
      <text>
        <r>
          <rPr>
            <b/>
            <sz val="8"/>
            <rFont val="Tahoma"/>
            <family val="2"/>
          </rPr>
          <t>Amit Kanudia:</t>
        </r>
        <r>
          <rPr>
            <sz val="8"/>
            <rFont val="Tahoma"/>
            <family val="2"/>
          </rPr>
          <t xml:space="preserve">
Needed only when one wants to override the VEDA default assignment
</t>
        </r>
      </text>
    </comment>
    <comment ref="U11" authorId="2">
      <text>
        <r>
          <rPr>
            <sz val="8"/>
            <rFont val="Tahoma"/>
            <family val="2"/>
          </rPr>
          <t>Allowed Vintage</t>
        </r>
        <r>
          <rPr>
            <b/>
            <sz val="8"/>
            <rFont val="Tahoma"/>
            <family val="2"/>
          </rPr>
          <t xml:space="preserve">
NO</t>
        </r>
        <r>
          <rPr>
            <sz val="8"/>
            <rFont val="Tahoma"/>
            <family val="2"/>
          </rPr>
          <t xml:space="preserve"> (if empty by default mean </t>
        </r>
        <r>
          <rPr>
            <b/>
            <sz val="8"/>
            <rFont val="Tahoma"/>
            <family val="2"/>
          </rPr>
          <t>NO</t>
        </r>
        <r>
          <rPr>
            <sz val="8"/>
            <rFont val="Tahoma"/>
            <family val="2"/>
          </rPr>
          <t>)</t>
        </r>
        <r>
          <rPr>
            <b/>
            <sz val="8"/>
            <rFont val="Tahoma"/>
            <family val="2"/>
          </rPr>
          <t xml:space="preserve">
YES</t>
        </r>
      </text>
    </comment>
    <comment ref="M12" authorId="2">
      <text>
        <r>
          <rPr>
            <sz val="8"/>
            <rFont val="Tahoma"/>
            <family val="2"/>
          </rPr>
          <t xml:space="preserve">Sets declarations are </t>
        </r>
        <r>
          <rPr>
            <sz val="8"/>
            <rFont val="Tahoma"/>
            <family val="2"/>
          </rPr>
          <t>inherited. 
Allowed Process Sets</t>
        </r>
        <r>
          <rPr>
            <b/>
            <sz val="8"/>
            <rFont val="Tahoma"/>
            <family val="2"/>
          </rPr>
          <t xml:space="preserve">
ELE </t>
        </r>
        <r>
          <rPr>
            <sz val="8"/>
            <rFont val="Tahoma"/>
            <family val="2"/>
          </rPr>
          <t>(Thermal Electric Power Plant)</t>
        </r>
        <r>
          <rPr>
            <b/>
            <sz val="8"/>
            <rFont val="Tahoma"/>
            <family val="2"/>
          </rPr>
          <t xml:space="preserve">
CHP </t>
        </r>
        <r>
          <rPr>
            <sz val="8"/>
            <rFont val="Tahoma"/>
            <family val="2"/>
          </rPr>
          <t>(Combined Heat and Power)</t>
        </r>
        <r>
          <rPr>
            <b/>
            <sz val="8"/>
            <rFont val="Tahoma"/>
            <family val="2"/>
          </rPr>
          <t xml:space="preserve">
STGTSS </t>
        </r>
        <r>
          <rPr>
            <sz val="8"/>
            <rFont val="Tahoma"/>
            <family val="2"/>
          </rPr>
          <t>(Pump Storage)</t>
        </r>
        <r>
          <rPr>
            <b/>
            <sz val="8"/>
            <rFont val="Tahoma"/>
            <family val="2"/>
          </rPr>
          <t xml:space="preserve">
STGIPS</t>
        </r>
        <r>
          <rPr>
            <sz val="8"/>
            <rFont val="Tahoma"/>
            <family val="2"/>
          </rPr>
          <t xml:space="preserve"> (Pump Storage IP)</t>
        </r>
        <r>
          <rPr>
            <b/>
            <sz val="8"/>
            <rFont val="Tahoma"/>
            <family val="2"/>
          </rPr>
          <t xml:space="preserve">
PRE </t>
        </r>
        <r>
          <rPr>
            <sz val="8"/>
            <rFont val="Tahoma"/>
            <family val="2"/>
          </rPr>
          <t>(Genric Process/Technology)</t>
        </r>
        <r>
          <rPr>
            <b/>
            <sz val="8"/>
            <rFont val="Tahoma"/>
            <family val="2"/>
          </rPr>
          <t xml:space="preserve">
DMD</t>
        </r>
        <r>
          <rPr>
            <sz val="8"/>
            <rFont val="Tahoma"/>
            <family val="2"/>
          </rPr>
          <t xml:space="preserve"> (Demand Device)</t>
        </r>
        <r>
          <rPr>
            <b/>
            <sz val="8"/>
            <rFont val="Tahoma"/>
            <family val="2"/>
          </rPr>
          <t xml:space="preserve">
IMP </t>
        </r>
        <r>
          <rPr>
            <sz val="8"/>
            <rFont val="Tahoma"/>
            <family val="2"/>
          </rPr>
          <t xml:space="preserve">(Import)
</t>
        </r>
        <r>
          <rPr>
            <b/>
            <sz val="8"/>
            <rFont val="Tahoma"/>
            <family val="2"/>
          </rPr>
          <t>EXP</t>
        </r>
        <r>
          <rPr>
            <sz val="8"/>
            <rFont val="Tahoma"/>
            <family val="2"/>
          </rPr>
          <t xml:space="preserve"> (Export)</t>
        </r>
        <r>
          <rPr>
            <b/>
            <sz val="8"/>
            <rFont val="Tahoma"/>
            <family val="2"/>
          </rPr>
          <t xml:space="preserve">
MIN </t>
        </r>
        <r>
          <rPr>
            <sz val="8"/>
            <rFont val="Tahoma"/>
            <family val="2"/>
          </rPr>
          <t>(Mining Process)</t>
        </r>
        <r>
          <rPr>
            <b/>
            <sz val="8"/>
            <rFont val="Tahoma"/>
            <family val="2"/>
          </rPr>
          <t xml:space="preserve">
RNW </t>
        </r>
        <r>
          <rPr>
            <sz val="8"/>
            <rFont val="Tahoma"/>
            <family val="2"/>
          </rPr>
          <t>(Renewable Technology)</t>
        </r>
        <r>
          <rPr>
            <b/>
            <sz val="8"/>
            <rFont val="Tahoma"/>
            <family val="2"/>
          </rPr>
          <t xml:space="preserve">
HPL</t>
        </r>
        <r>
          <rPr>
            <sz val="8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<sst xmlns="http://schemas.openxmlformats.org/spreadsheetml/2006/main" count="665" uniqueCount="176">
  <si>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</si>
  <si>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</si>
  <si>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</si>
  <si>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</si>
  <si>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</si>
  <si>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</si>
  <si>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</si>
  <si>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</si>
  <si>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</si>
  <si>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</si>
  <si>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</si>
  <si>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</si>
  <si>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</si>
  <si>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</si>
  <si>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</si>
  <si>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</si>
  <si>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</si>
  <si>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</si>
  <si>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</si>
  <si>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</si>
  <si>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</si>
  <si>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</si>
  <si>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</si>
  <si>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</si>
  <si>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</si>
  <si>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</si>
  <si>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</si>
  <si>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</si>
  <si>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</si>
  <si>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</si>
  <si>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</si>
  <si>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</si>
  <si>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</si>
  <si>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</si>
  <si>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</si>
  <si>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</si>
  <si>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</si>
  <si>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</si>
  <si>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</si>
  <si>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</si>
  <si>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</si>
  <si>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</si>
  <si>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</si>
  <si>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</si>
  <si>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</si>
  <si>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</si>
  <si>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</si>
  <si>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</si>
  <si>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SLU</t>
  </si>
  <si>
    <t>HET</t>
  </si>
  <si>
    <t>ELC</t>
  </si>
  <si>
    <t>Solid Fuels</t>
  </si>
  <si>
    <t>Natural Gas</t>
  </si>
  <si>
    <t>Nuclear Energy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</si>
  <si>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</si>
  <si>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</si>
  <si>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</si>
  <si>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</si>
  <si>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</si>
  <si>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</si>
  <si>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</si>
  <si>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</si>
  <si>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</si>
  <si>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</si>
  <si>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</si>
  <si>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</si>
  <si>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</si>
  <si>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</si>
  <si>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</si>
  <si>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</si>
  <si>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</si>
  <si>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</si>
  <si>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</si>
  <si>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</si>
  <si>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</si>
  <si>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</si>
  <si>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</si>
  <si>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</si>
  <si>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</si>
  <si>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</si>
  <si>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</si>
  <si>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</si>
  <si>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</si>
  <si>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</si>
  <si>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</si>
  <si>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</si>
  <si>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</si>
  <si>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</si>
  <si>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</si>
  <si>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</si>
  <si>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</si>
  <si>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</si>
  <si>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Remaining Lifetime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</si>
  <si>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</si>
  <si>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</si>
  <si>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</si>
  <si>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</si>
  <si>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</si>
  <si>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</si>
  <si>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</si>
  <si>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</si>
  <si>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</si>
  <si>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SH</t>
  </si>
  <si>
    <t>AP</t>
  </si>
  <si>
    <t>OT</t>
  </si>
  <si>
    <t>Space Heating</t>
  </si>
  <si>
    <t>Appliancens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</si>
  <si>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</si>
  <si>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</si>
  <si>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</si>
  <si>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</si>
  <si>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</si>
  <si>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</si>
  <si>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</si>
  <si>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</si>
  <si>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</si>
  <si>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</si>
  <si>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</si>
  <si>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</si>
  <si>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</si>
  <si>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</si>
  <si>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Capacity unit</t>
  </si>
  <si>
    <t>GW</t>
  </si>
  <si>
    <t>Capacity to Activity Factor</t>
  </si>
  <si>
    <t>Timeslices</t>
  </si>
  <si>
    <t>COM_FR</t>
  </si>
  <si>
    <t>SD</t>
  </si>
  <si>
    <t>SN</t>
  </si>
  <si>
    <t>WD</t>
  </si>
  <si>
    <t>WN</t>
  </si>
  <si>
    <t>DAYNITE</t>
  </si>
  <si>
    <t>REG2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</si>
  <si>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</si>
  <si>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</si>
  <si>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</si>
  <si>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</si>
  <si>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</si>
  <si>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</si>
  <si>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</si>
  <si>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</si>
  <si>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</si>
  <si>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</si>
  <si>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</si>
  <si>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</si>
  <si>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</si>
  <si>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</si>
  <si>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Pja</t>
  </si>
  <si>
    <t>Diesel oil</t>
  </si>
  <si>
    <t>~COMEMI</t>
  </si>
  <si>
    <t>*Unit</t>
  </si>
  <si>
    <t>Demand Unit</t>
  </si>
  <si>
    <t>Input Share</t>
  </si>
  <si>
    <t>Share-I~UP</t>
  </si>
  <si>
    <t>M€2005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</si>
  <si>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</si>
  <si>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</si>
  <si>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</si>
  <si>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</si>
  <si>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</si>
  <si>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</si>
  <si>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TOT</t>
  </si>
  <si>
    <t>Production</t>
  </si>
  <si>
    <t>Dynamic coefficients for combustion emissions in agriculture, residential and comemrcial</t>
  </si>
  <si>
    <t>Relaxation factor</t>
  </si>
  <si>
    <t>Share-I~2050~UP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</si>
  <si>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</si>
  <si>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</si>
  <si>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</si>
  <si>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</si>
  <si>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</si>
  <si>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</si>
  <si>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</si>
  <si>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</si>
  <si>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Demand Sectors: Agriculture, Commercial and Residential</t>
  </si>
  <si>
    <t>Lifetime</t>
  </si>
  <si>
    <t>CAP2ACT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</si>
</sst>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-* #,##0.00_-;\-* #,##0.00_-;_-* &quot;-&quot;??_-;_-@_-"/>
    <numFmt numFmtId="187" formatCode="General_)"/>
    <numFmt numFmtId="195" formatCode="\Te\x\t"/>
  </numFmts>
  <fonts count="25">
    <font>
      <sz val="10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name val="Tahoma"/>
      <family val="2"/>
    </font>
    <font>
      <b/>
      <sz val="8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name val="Tahoma"/>
      <family val="2"/>
    </font>
    <font>
      <sz val="14"/>
      <color indexed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9" tint="-0.249960005283356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8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799979984760284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3" tint="0.799979984760284"/>
        <bgColor indexed="64"/>
      </patternFill>
    </fill>
    <fill>
      <patternFill patternType="solid">
        <fgColor theme="9" tint="0.599990010261536"/>
        <bgColor indexed="64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  <border>
      <left/>
      <right/>
      <top style="thin">
        <color auto="1"/>
      </top>
      <bottom style="medium">
        <color auto="1"/>
      </bottom>
    </border>
    <border>
      <left/>
      <right/>
      <top style="medium">
        <color auto="1"/>
      </top>
      <bottom/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/>
      <bottom style="medium">
        <color auto="1"/>
      </bottom>
    </border>
    <border>
      <left style="thin">
        <color auto="1"/>
      </left>
      <right/>
      <top/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/>
    </border>
  </borders>
  <cellStyleXfs count="47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1" applyNumberFormat="0" applyAlignment="0" applyProtection="0"/>
    <xf numFmtId="171" fontId="11" fillId="0" borderId="0" applyFont="0" applyFill="0" applyBorder="0" applyAlignment="0" applyProtection="0"/>
    <xf numFmtId="0" fontId="14" fillId="8" borderId="0" applyNumberFormat="0" applyBorder="0" applyAlignment="0" applyProtection="0"/>
    <xf numFmtId="0" fontId="15" fillId="9" borderId="1" applyNumberFormat="0" applyAlignment="0" applyProtection="0"/>
    <xf numFmtId="0" fontId="16" fillId="10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1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>
      <alignment/>
      <protection/>
    </xf>
  </cellStyleXfs>
  <cellXfs count="173">
    <xf numFmtId="0" fontId="0" fillId="0" borderId="0" xfId="0"/>
    <xf numFmtId="0" fontId="0" fillId="0" borderId="0" xfId="0" applyFont="1"/>
    <xf numFmtId="0" fontId="3" fillId="11" borderId="2" xfId="0" applyFont="1" applyFill="1" applyBorder="1" applyAlignment="1">
      <alignment vertical="center"/>
    </xf>
    <xf numFmtId="0" fontId="4" fillId="0" borderId="0" xfId="0" applyFont="1" applyFill="1"/>
    <xf numFmtId="0" fontId="4" fillId="0" borderId="0" xfId="32" applyFont="1" applyFill="1" applyAlignment="1">
      <alignment horizontal="left"/>
      <protection/>
    </xf>
    <xf numFmtId="0" fontId="0" fillId="0" borderId="0" xfId="0" applyFill="1"/>
    <xf numFmtId="0" fontId="0" fillId="0" borderId="0" xfId="0" applyBorder="1" applyAlignment="1">
      <alignment/>
    </xf>
    <xf numFmtId="0" fontId="0" fillId="0" borderId="0" xfId="0" applyBorder="1"/>
    <xf numFmtId="0" fontId="0" fillId="0" borderId="3" xfId="0" applyBorder="1" applyAlignment="1">
      <alignment/>
    </xf>
    <xf numFmtId="1" fontId="0" fillId="0" borderId="0" xfId="0" applyNumberFormat="1"/>
    <xf numFmtId="0" fontId="0" fillId="0" borderId="0" xfId="0" applyFont="1" applyFill="1" applyBorder="1"/>
    <xf numFmtId="0" fontId="12" fillId="6" borderId="0" xfId="24"/>
    <xf numFmtId="0" fontId="17" fillId="0" borderId="0" xfId="27" applyFont="1" applyFill="1"/>
    <xf numFmtId="0" fontId="17" fillId="12" borderId="0" xfId="27" applyFont="1" applyFill="1"/>
    <xf numFmtId="0" fontId="0" fillId="0" borderId="0" xfId="29" applyFont="1" applyFill="1"/>
    <xf numFmtId="1" fontId="0" fillId="0" borderId="0" xfId="0" applyNumberFormat="1" applyFont="1" applyFill="1"/>
    <xf numFmtId="1" fontId="0" fillId="0" borderId="0" xfId="0" applyNumberFormat="1" applyFill="1"/>
    <xf numFmtId="0" fontId="18" fillId="2" borderId="4" xfId="20" applyFont="1" applyBorder="1" applyAlignment="1">
      <alignment horizontal="center" wrapText="1"/>
    </xf>
    <xf numFmtId="0" fontId="19" fillId="0" borderId="0" xfId="0" applyFont="1" applyFill="1" applyBorder="1"/>
    <xf numFmtId="0" fontId="18" fillId="2" borderId="4" xfId="20" applyFont="1" applyBorder="1" applyAlignment="1">
      <alignment horizontal="left" wrapText="1"/>
    </xf>
    <xf numFmtId="0" fontId="18" fillId="2" borderId="2" xfId="20" applyFont="1" applyBorder="1" applyAlignment="1">
      <alignment horizontal="left" wrapText="1"/>
    </xf>
    <xf numFmtId="2" fontId="0" fillId="0" borderId="0" xfId="0" applyNumberFormat="1"/>
    <xf numFmtId="0" fontId="3" fillId="11" borderId="2" xfId="32" applyFont="1" applyFill="1" applyBorder="1" applyAlignment="1">
      <alignment horizontal="left" vertical="center"/>
      <protection/>
    </xf>
    <xf numFmtId="1" fontId="0" fillId="0" borderId="0" xfId="0" applyNumberFormat="1" applyBorder="1"/>
    <xf numFmtId="2" fontId="0" fillId="0" borderId="0" xfId="0" applyNumberFormat="1" applyBorder="1"/>
    <xf numFmtId="0" fontId="17" fillId="12" borderId="0" xfId="27" applyFont="1" applyFill="1" applyAlignment="1">
      <alignment wrapText="1"/>
    </xf>
    <xf numFmtId="0" fontId="0" fillId="0" borderId="0" xfId="0" applyFill="1" applyAlignment="1">
      <alignment wrapText="1"/>
    </xf>
    <xf numFmtId="0" fontId="20" fillId="0" borderId="0" xfId="0" applyFont="1"/>
    <xf numFmtId="0" fontId="0" fillId="0" borderId="0" xfId="0" applyFont="1" applyBorder="1"/>
    <xf numFmtId="9" fontId="19" fillId="0" borderId="0" xfId="15" applyFont="1" applyBorder="1" applyAlignment="1">
      <alignment/>
    </xf>
    <xf numFmtId="0" fontId="12" fillId="6" borderId="0" xfId="24" applyAlignment="1">
      <alignment wrapText="1"/>
    </xf>
    <xf numFmtId="0" fontId="0" fillId="0" borderId="3" xfId="0" applyBorder="1"/>
    <xf numFmtId="0" fontId="3" fillId="0" borderId="0" xfId="0" applyFont="1"/>
    <xf numFmtId="0" fontId="0" fillId="0" borderId="0" xfId="30">
      <alignment/>
      <protection/>
    </xf>
    <xf numFmtId="0" fontId="0" fillId="0" borderId="0" xfId="30" applyFont="1">
      <alignment/>
      <protection/>
    </xf>
    <xf numFmtId="0" fontId="0" fillId="0" borderId="0" xfId="30" applyFill="1">
      <alignment/>
      <protection/>
    </xf>
    <xf numFmtId="0" fontId="0" fillId="0" borderId="0" xfId="30" applyFill="1" applyBorder="1">
      <alignment/>
      <protection/>
    </xf>
    <xf numFmtId="0" fontId="0" fillId="0" borderId="0" xfId="30" applyBorder="1">
      <alignment/>
      <protection/>
    </xf>
    <xf numFmtId="0" fontId="0" fillId="0" borderId="0" xfId="30" applyFill="1" applyBorder="1" applyAlignment="1">
      <alignment wrapText="1"/>
      <protection/>
    </xf>
    <xf numFmtId="0" fontId="0" fillId="0" borderId="0" xfId="30" applyFont="1" applyBorder="1">
      <alignment/>
      <protection/>
    </xf>
    <xf numFmtId="0" fontId="0" fillId="0" borderId="0" xfId="0" applyFill="1" applyBorder="1"/>
    <xf numFmtId="0" fontId="0" fillId="0" borderId="0" xfId="30" applyFont="1" applyFill="1">
      <alignment/>
      <protection/>
    </xf>
    <xf numFmtId="0" fontId="0" fillId="0" borderId="5" xfId="0" applyFont="1" applyFill="1" applyBorder="1"/>
    <xf numFmtId="0" fontId="0" fillId="0" borderId="3" xfId="0" applyFont="1" applyBorder="1"/>
    <xf numFmtId="0" fontId="0" fillId="0" borderId="3" xfId="30" applyFont="1" applyFill="1" applyBorder="1">
      <alignment/>
      <protection/>
    </xf>
    <xf numFmtId="1" fontId="1" fillId="13" borderId="0" xfId="21" applyNumberFormat="1" applyFont="1" applyFill="1" applyBorder="1" applyAlignment="1">
      <alignment horizontal="right" wrapText="1"/>
    </xf>
    <xf numFmtId="0" fontId="12" fillId="0" borderId="0" xfId="24" applyFill="1"/>
    <xf numFmtId="0" fontId="4" fillId="0" borderId="0" xfId="0" applyFont="1" applyFill="1" applyAlignment="1">
      <alignment horizontal="left"/>
    </xf>
    <xf numFmtId="0" fontId="10" fillId="14" borderId="0" xfId="0" applyFont="1" applyFill="1" applyBorder="1" applyAlignment="1" quotePrefix="1">
      <alignment/>
    </xf>
    <xf numFmtId="0" fontId="10" fillId="0" borderId="0" xfId="0" applyFont="1" applyFill="1" applyBorder="1" applyAlignment="1" quotePrefix="1">
      <alignment/>
    </xf>
    <xf numFmtId="0" fontId="3" fillId="11" borderId="4" xfId="32" applyFont="1" applyFill="1" applyBorder="1" applyAlignment="1">
      <alignment horizontal="left" vertical="center"/>
      <protection/>
    </xf>
    <xf numFmtId="0" fontId="18" fillId="0" borderId="0" xfId="21" applyFont="1" applyFill="1" applyBorder="1" applyAlignment="1">
      <alignment wrapText="1"/>
    </xf>
    <xf numFmtId="0" fontId="21" fillId="0" borderId="0" xfId="0" applyFont="1" applyFill="1"/>
    <xf numFmtId="0" fontId="17" fillId="12" borderId="0" xfId="27" applyFont="1" applyFill="1" applyAlignment="1">
      <alignment horizontal="left"/>
    </xf>
    <xf numFmtId="0" fontId="21" fillId="15" borderId="3" xfId="0" applyFont="1" applyFill="1" applyBorder="1" applyAlignment="1">
      <alignment wrapText="1"/>
    </xf>
    <xf numFmtId="0" fontId="3" fillId="15" borderId="3" xfId="0" applyFont="1" applyFill="1" applyBorder="1" applyAlignment="1">
      <alignment wrapText="1"/>
    </xf>
    <xf numFmtId="0" fontId="21" fillId="15" borderId="0" xfId="0" applyFont="1" applyFill="1"/>
    <xf numFmtId="187" fontId="8" fillId="16" borderId="0" xfId="0" applyNumberFormat="1" applyFont="1" applyFill="1" applyBorder="1" applyAlignment="1">
      <alignment horizontal="left" vertical="center"/>
    </xf>
    <xf numFmtId="0" fontId="0" fillId="17" borderId="0" xfId="0" applyFill="1"/>
    <xf numFmtId="187" fontId="8" fillId="16" borderId="3" xfId="0" applyNumberFormat="1" applyFont="1" applyFill="1" applyBorder="1" applyAlignment="1">
      <alignment horizontal="left" vertical="center"/>
    </xf>
    <xf numFmtId="1" fontId="0" fillId="16" borderId="3" xfId="0" applyNumberFormat="1" applyFill="1" applyBorder="1" applyAlignment="1">
      <alignment/>
    </xf>
    <xf numFmtId="1" fontId="15" fillId="9" borderId="0" xfId="28" applyNumberFormat="1" applyBorder="1" applyAlignment="1">
      <alignment/>
    </xf>
    <xf numFmtId="1" fontId="13" fillId="7" borderId="6" xfId="25" applyNumberFormat="1" applyBorder="1" applyAlignment="1">
      <alignment horizontal="right"/>
    </xf>
    <xf numFmtId="1" fontId="13" fillId="7" borderId="7" xfId="25" applyNumberFormat="1" applyBorder="1" applyAlignment="1">
      <alignment horizontal="right"/>
    </xf>
    <xf numFmtId="187" fontId="13" fillId="7" borderId="8" xfId="25" applyNumberFormat="1" applyBorder="1" applyAlignment="1">
      <alignment horizontal="right" vertical="center"/>
    </xf>
    <xf numFmtId="187" fontId="8" fillId="16" borderId="9" xfId="0" applyNumberFormat="1" applyFont="1" applyFill="1" applyBorder="1" applyAlignment="1">
      <alignment horizontal="left" vertical="center"/>
    </xf>
    <xf numFmtId="187" fontId="8" fillId="16" borderId="10" xfId="0" applyNumberFormat="1" applyFont="1" applyFill="1" applyBorder="1" applyAlignment="1">
      <alignment horizontal="left" vertical="center"/>
    </xf>
    <xf numFmtId="187" fontId="8" fillId="16" borderId="11" xfId="0" applyNumberFormat="1" applyFont="1" applyFill="1" applyBorder="1" applyAlignment="1">
      <alignment horizontal="left" vertical="center"/>
    </xf>
    <xf numFmtId="187" fontId="8" fillId="16" borderId="2" xfId="0" applyNumberFormat="1" applyFont="1" applyFill="1" applyBorder="1" applyAlignment="1">
      <alignment horizontal="left" vertical="center"/>
    </xf>
    <xf numFmtId="187" fontId="8" fillId="16" borderId="12" xfId="0" applyNumberFormat="1" applyFont="1" applyFill="1" applyBorder="1" applyAlignment="1">
      <alignment horizontal="left" vertical="center"/>
    </xf>
    <xf numFmtId="187" fontId="8" fillId="16" borderId="13" xfId="0" applyNumberFormat="1" applyFont="1" applyFill="1" applyBorder="1" applyAlignment="1">
      <alignment horizontal="left" vertical="center"/>
    </xf>
    <xf numFmtId="187" fontId="8" fillId="16" borderId="14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/>
    </xf>
    <xf numFmtId="187" fontId="8" fillId="16" borderId="10" xfId="0" applyNumberFormat="1" applyFont="1" applyFill="1" applyBorder="1" applyAlignment="1">
      <alignment horizontal="center" vertical="center"/>
    </xf>
    <xf numFmtId="187" fontId="8" fillId="16" borderId="11" xfId="0" applyNumberFormat="1" applyFont="1" applyFill="1" applyBorder="1" applyAlignment="1">
      <alignment horizontal="center" vertical="center"/>
    </xf>
    <xf numFmtId="0" fontId="21" fillId="15" borderId="15" xfId="0" applyFont="1" applyFill="1" applyBorder="1" applyAlignment="1">
      <alignment wrapText="1"/>
    </xf>
    <xf numFmtId="0" fontId="21" fillId="15" borderId="7" xfId="0" applyFont="1" applyFill="1" applyBorder="1" applyAlignment="1">
      <alignment wrapText="1"/>
    </xf>
    <xf numFmtId="0" fontId="21" fillId="15" borderId="8" xfId="0" applyFont="1" applyFill="1" applyBorder="1" applyAlignment="1">
      <alignment wrapText="1"/>
    </xf>
    <xf numFmtId="9" fontId="15" fillId="9" borderId="0" xfId="15" applyFont="1" applyFill="1" applyBorder="1" applyAlignment="1">
      <alignment/>
    </xf>
    <xf numFmtId="0" fontId="22" fillId="5" borderId="3" xfId="23" applyFont="1" applyBorder="1" applyAlignment="1">
      <alignment horizontal="left" vertical="center"/>
    </xf>
    <xf numFmtId="1" fontId="0" fillId="18" borderId="0" xfId="0" applyNumberFormat="1" applyFill="1"/>
    <xf numFmtId="0" fontId="0" fillId="18" borderId="0" xfId="0" applyFill="1"/>
    <xf numFmtId="2" fontId="0" fillId="18" borderId="0" xfId="0" applyNumberFormat="1" applyFill="1"/>
    <xf numFmtId="2" fontId="0" fillId="17" borderId="0" xfId="29" applyNumberFormat="1" applyFont="1" applyFill="1"/>
    <xf numFmtId="0" fontId="0" fillId="17" borderId="0" xfId="29" applyFont="1" applyFill="1"/>
    <xf numFmtId="2" fontId="0" fillId="17" borderId="0" xfId="0" applyNumberFormat="1" applyFill="1"/>
    <xf numFmtId="2" fontId="0" fillId="17" borderId="0" xfId="0" applyNumberFormat="1" applyFill="1" applyBorder="1"/>
    <xf numFmtId="0" fontId="0" fillId="17" borderId="0" xfId="30" applyFill="1">
      <alignment/>
      <protection/>
    </xf>
    <xf numFmtId="2" fontId="0" fillId="18" borderId="3" xfId="0" applyNumberFormat="1" applyFill="1" applyBorder="1"/>
    <xf numFmtId="2" fontId="0" fillId="0" borderId="0" xfId="29" applyNumberFormat="1" applyFont="1" applyFill="1"/>
    <xf numFmtId="0" fontId="23" fillId="0" borderId="0" xfId="0" applyFont="1"/>
    <xf numFmtId="0" fontId="3" fillId="19" borderId="0" xfId="0" applyFont="1" applyFill="1"/>
    <xf numFmtId="0" fontId="3" fillId="11" borderId="2" xfId="32" applyFont="1" applyFill="1" applyBorder="1" applyAlignment="1">
      <alignment horizontal="center" vertical="center" wrapText="1"/>
      <protection/>
    </xf>
    <xf numFmtId="0" fontId="18" fillId="2" borderId="2" xfId="20" applyFont="1" applyBorder="1" applyAlignment="1">
      <alignment horizontal="center" wrapText="1"/>
    </xf>
    <xf numFmtId="0" fontId="18" fillId="2" borderId="16" xfId="20" applyFont="1" applyBorder="1" applyAlignment="1">
      <alignment horizontal="center" wrapText="1"/>
    </xf>
    <xf numFmtId="0" fontId="3" fillId="11" borderId="2" xfId="33" applyFont="1" applyFill="1" applyBorder="1" applyAlignment="1">
      <alignment horizontal="center" vertical="center" wrapText="1"/>
      <protection/>
    </xf>
    <xf numFmtId="0" fontId="3" fillId="11" borderId="2" xfId="0" applyFont="1" applyFill="1" applyBorder="1" applyAlignment="1">
      <alignment horizontal="center" vertical="center" wrapText="1"/>
    </xf>
    <xf numFmtId="1" fontId="0" fillId="18" borderId="3" xfId="0" applyNumberFormat="1" applyFill="1" applyBorder="1"/>
    <xf numFmtId="1" fontId="0" fillId="18" borderId="0" xfId="0" applyNumberFormat="1" applyFill="1" applyBorder="1"/>
    <xf numFmtId="0" fontId="0" fillId="0" borderId="0" xfId="0" applyFill="1" applyAlignment="1">
      <alignment/>
    </xf>
    <xf numFmtId="0" fontId="12" fillId="4" borderId="0" xfId="22"/>
    <xf numFmtId="187" fontId="7" fillId="0" borderId="17" xfId="0" applyNumberFormat="1" applyFont="1" applyBorder="1" applyAlignment="1">
      <alignment horizontal="left" vertical="center"/>
    </xf>
    <xf numFmtId="0" fontId="3" fillId="0" borderId="14" xfId="0" applyFont="1" applyBorder="1" applyAlignment="1">
      <alignment/>
    </xf>
    <xf numFmtId="1" fontId="0" fillId="16" borderId="0" xfId="0" applyNumberFormat="1" applyFill="1" applyBorder="1" applyAlignment="1">
      <alignment/>
    </xf>
    <xf numFmtId="1" fontId="3" fillId="16" borderId="13" xfId="0" applyNumberFormat="1" applyFont="1" applyFill="1" applyBorder="1" applyAlignment="1">
      <alignment/>
    </xf>
    <xf numFmtId="1" fontId="3" fillId="16" borderId="14" xfId="0" applyNumberFormat="1" applyFont="1" applyFill="1" applyBorder="1" applyAlignment="1">
      <alignment/>
    </xf>
    <xf numFmtId="0" fontId="18" fillId="2" borderId="6" xfId="20" applyFont="1" applyBorder="1" applyAlignment="1">
      <alignment horizontal="left" wrapText="1"/>
    </xf>
    <xf numFmtId="0" fontId="21" fillId="15" borderId="13" xfId="0" applyFont="1" applyFill="1" applyBorder="1"/>
    <xf numFmtId="0" fontId="0" fillId="0" borderId="13" xfId="0" applyBorder="1"/>
    <xf numFmtId="0" fontId="3" fillId="15" borderId="18" xfId="0" applyFont="1" applyFill="1" applyBorder="1" applyAlignment="1">
      <alignment wrapText="1"/>
    </xf>
    <xf numFmtId="0" fontId="3" fillId="15" borderId="9" xfId="0" applyFont="1" applyFill="1" applyBorder="1" applyAlignment="1">
      <alignment wrapText="1"/>
    </xf>
    <xf numFmtId="187" fontId="8" fillId="16" borderId="18" xfId="0" applyNumberFormat="1" applyFont="1" applyFill="1" applyBorder="1" applyAlignment="1">
      <alignment horizontal="center" vertical="center"/>
    </xf>
    <xf numFmtId="187" fontId="8" fillId="16" borderId="9" xfId="0" applyNumberFormat="1" applyFont="1" applyFill="1" applyBorder="1" applyAlignment="1">
      <alignment horizontal="center" vertical="center"/>
    </xf>
    <xf numFmtId="187" fontId="8" fillId="16" borderId="12" xfId="0" applyNumberFormat="1" applyFont="1" applyFill="1" applyBorder="1" applyAlignment="1">
      <alignment horizontal="center" vertical="center"/>
    </xf>
    <xf numFmtId="187" fontId="8" fillId="16" borderId="19" xfId="0" applyNumberFormat="1" applyFont="1" applyFill="1" applyBorder="1" applyAlignment="1">
      <alignment horizontal="center" vertical="center"/>
    </xf>
    <xf numFmtId="187" fontId="8" fillId="16" borderId="13" xfId="0" applyNumberFormat="1" applyFont="1" applyFill="1" applyBorder="1" applyAlignment="1">
      <alignment horizontal="center" vertical="center"/>
    </xf>
    <xf numFmtId="187" fontId="8" fillId="16" borderId="17" xfId="0" applyNumberFormat="1" applyFont="1" applyFill="1" applyBorder="1" applyAlignment="1">
      <alignment horizontal="center" vertical="center"/>
    </xf>
    <xf numFmtId="187" fontId="8" fillId="16" borderId="14" xfId="0" applyNumberFormat="1" applyFont="1" applyFill="1" applyBorder="1" applyAlignment="1">
      <alignment horizontal="center" vertical="center"/>
    </xf>
    <xf numFmtId="9" fontId="15" fillId="9" borderId="13" xfId="15" applyFont="1" applyFill="1" applyBorder="1" applyAlignment="1">
      <alignment/>
    </xf>
    <xf numFmtId="0" fontId="24" fillId="3" borderId="6" xfId="21" applyFont="1" applyBorder="1" applyAlignment="1">
      <alignment horizontal="center" wrapText="1"/>
    </xf>
    <xf numFmtId="9" fontId="0" fillId="0" borderId="0" xfId="15" applyFont="1" applyFill="1"/>
    <xf numFmtId="9" fontId="8" fillId="16" borderId="3" xfId="15" applyFont="1" applyFill="1" applyBorder="1" applyAlignment="1">
      <alignment horizontal="left" vertical="center"/>
    </xf>
    <xf numFmtId="9" fontId="8" fillId="16" borderId="6" xfId="15" applyFont="1" applyFill="1" applyBorder="1" applyAlignment="1">
      <alignment horizontal="left" vertical="center"/>
    </xf>
    <xf numFmtId="9" fontId="8" fillId="16" borderId="19" xfId="15" applyFont="1" applyFill="1" applyBorder="1" applyAlignment="1">
      <alignment horizontal="left" vertical="center"/>
    </xf>
    <xf numFmtId="9" fontId="8" fillId="16" borderId="0" xfId="15" applyFont="1" applyFill="1" applyBorder="1" applyAlignment="1">
      <alignment horizontal="left" vertical="center"/>
    </xf>
    <xf numFmtId="9" fontId="15" fillId="9" borderId="17" xfId="15" applyFont="1" applyFill="1" applyBorder="1" applyAlignment="1">
      <alignment/>
    </xf>
    <xf numFmtId="9" fontId="15" fillId="9" borderId="3" xfId="15" applyFont="1" applyFill="1" applyBorder="1" applyAlignment="1">
      <alignment/>
    </xf>
    <xf numFmtId="9" fontId="8" fillId="16" borderId="15" xfId="15" applyFont="1" applyFill="1" applyBorder="1" applyAlignment="1">
      <alignment horizontal="left" vertical="center"/>
    </xf>
    <xf numFmtId="9" fontId="8" fillId="16" borderId="7" xfId="15" applyFont="1" applyFill="1" applyBorder="1" applyAlignment="1">
      <alignment horizontal="left" vertical="center"/>
    </xf>
    <xf numFmtId="0" fontId="24" fillId="0" borderId="0" xfId="21" applyFont="1" applyFill="1" applyBorder="1" applyAlignment="1">
      <alignment horizontal="center" wrapText="1"/>
    </xf>
    <xf numFmtId="2" fontId="0" fillId="17" borderId="3" xfId="0" applyNumberFormat="1" applyFill="1" applyBorder="1"/>
    <xf numFmtId="0" fontId="0" fillId="17" borderId="3" xfId="30" applyFill="1" applyBorder="1">
      <alignment/>
      <protection/>
    </xf>
    <xf numFmtId="0" fontId="0" fillId="17" borderId="3" xfId="0" applyFill="1" applyBorder="1"/>
    <xf numFmtId="1" fontId="1" fillId="13" borderId="3" xfId="21" applyNumberFormat="1" applyFont="1" applyFill="1" applyBorder="1" applyAlignment="1">
      <alignment horizontal="right" wrapText="1"/>
    </xf>
    <xf numFmtId="0" fontId="0" fillId="0" borderId="6" xfId="0" applyBorder="1"/>
    <xf numFmtId="1" fontId="0" fillId="18" borderId="6" xfId="0" applyNumberFormat="1" applyFill="1" applyBorder="1"/>
    <xf numFmtId="2" fontId="0" fillId="17" borderId="6" xfId="0" applyNumberFormat="1" applyFill="1" applyBorder="1"/>
    <xf numFmtId="0" fontId="0" fillId="17" borderId="6" xfId="0" applyFill="1" applyBorder="1"/>
    <xf numFmtId="1" fontId="1" fillId="13" borderId="6" xfId="21" applyNumberFormat="1" applyFont="1" applyFill="1" applyBorder="1" applyAlignment="1">
      <alignment horizontal="right" wrapText="1"/>
    </xf>
    <xf numFmtId="9" fontId="15" fillId="9" borderId="14" xfId="15" applyFont="1" applyFill="1" applyBorder="1" applyAlignment="1">
      <alignment/>
    </xf>
    <xf numFmtId="2" fontId="0" fillId="18" borderId="0" xfId="0" applyNumberFormat="1" applyFill="1" applyBorder="1"/>
    <xf numFmtId="0" fontId="0" fillId="0" borderId="0" xfId="30" applyFont="1" applyFill="1" applyBorder="1">
      <alignment/>
      <protection/>
    </xf>
    <xf numFmtId="1" fontId="3" fillId="11" borderId="4" xfId="32" applyNumberFormat="1" applyFont="1" applyFill="1" applyBorder="1" applyAlignment="1">
      <alignment horizontal="left" vertical="center"/>
      <protection/>
    </xf>
    <xf numFmtId="1" fontId="0" fillId="17" borderId="0" xfId="0" applyNumberFormat="1" applyFill="1"/>
    <xf numFmtId="1" fontId="0" fillId="17" borderId="3" xfId="0" applyNumberFormat="1" applyFill="1" applyBorder="1"/>
    <xf numFmtId="1" fontId="0" fillId="17" borderId="6" xfId="0" applyNumberFormat="1" applyFill="1" applyBorder="1"/>
    <xf numFmtId="9" fontId="0" fillId="18" borderId="0" xfId="15" applyFont="1" applyFill="1"/>
    <xf numFmtId="2" fontId="0" fillId="17" borderId="6" xfId="30" applyNumberFormat="1" applyFill="1" applyBorder="1">
      <alignment/>
      <protection/>
    </xf>
    <xf numFmtId="2" fontId="0" fillId="17" borderId="0" xfId="30" applyNumberFormat="1" applyFill="1">
      <alignment/>
      <protection/>
    </xf>
    <xf numFmtId="0" fontId="18" fillId="2" borderId="4" xfId="20" applyFont="1" applyBorder="1" applyAlignment="1">
      <alignment horizontal="center" wrapText="1"/>
    </xf>
    <xf numFmtId="0" fontId="18" fillId="2" borderId="2" xfId="20" applyFont="1" applyBorder="1" applyAlignment="1">
      <alignment horizontal="left" wrapText="1"/>
    </xf>
    <xf numFmtId="9" fontId="0" fillId="17" borderId="0" xfId="45" applyFont="1" applyFill="1"/>
    <xf numFmtId="0" fontId="14" fillId="8" borderId="0" xfId="27"/>
    <xf numFmtId="9" fontId="14" fillId="8" borderId="0" xfId="27" applyNumberFormat="1" applyAlignment="1">
      <alignment horizontal="left"/>
    </xf>
    <xf numFmtId="0" fontId="3" fillId="15" borderId="15" xfId="0" applyFont="1" applyFill="1" applyBorder="1" applyAlignment="1">
      <alignment wrapText="1"/>
    </xf>
    <xf numFmtId="0" fontId="3" fillId="15" borderId="6" xfId="0" applyFont="1" applyFill="1" applyBorder="1" applyAlignment="1">
      <alignment wrapText="1"/>
    </xf>
    <xf numFmtId="0" fontId="3" fillId="15" borderId="7" xfId="0" applyFont="1" applyFill="1" applyBorder="1" applyAlignment="1">
      <alignment wrapText="1"/>
    </xf>
    <xf numFmtId="9" fontId="15" fillId="9" borderId="0" xfId="44" applyFont="1" applyFill="1" applyBorder="1" applyAlignment="1">
      <alignment/>
    </xf>
    <xf numFmtId="9" fontId="8" fillId="16" borderId="0" xfId="44" applyFont="1" applyFill="1" applyBorder="1" applyAlignment="1">
      <alignment horizontal="left" vertical="center"/>
    </xf>
    <xf numFmtId="9" fontId="15" fillId="9" borderId="3" xfId="44" applyFont="1" applyFill="1" applyBorder="1" applyAlignment="1">
      <alignment/>
    </xf>
    <xf numFmtId="195" fontId="4" fillId="0" borderId="0" xfId="0" applyNumberFormat="1" applyFont="1"/>
    <xf numFmtId="195" fontId="0" fillId="0" borderId="0" xfId="0" applyNumberFormat="1" applyFont="1"/>
    <xf numFmtId="195" fontId="3" fillId="11" borderId="2" xfId="0" applyNumberFormat="1" applyFont="1" applyFill="1" applyBorder="1" applyAlignment="1">
      <alignment horizontal="left"/>
    </xf>
    <xf numFmtId="195" fontId="3" fillId="11" borderId="6" xfId="0" applyNumberFormat="1" applyFont="1" applyFill="1" applyBorder="1" applyAlignment="1">
      <alignment horizontal="left"/>
    </xf>
    <xf numFmtId="195" fontId="18" fillId="2" borderId="4" xfId="20" applyNumberFormat="1" applyFont="1" applyBorder="1" applyAlignment="1">
      <alignment horizontal="left" wrapText="1"/>
    </xf>
    <xf numFmtId="195" fontId="0" fillId="0" borderId="0" xfId="0" applyNumberFormat="1" applyFill="1"/>
    <xf numFmtId="195" fontId="0" fillId="0" borderId="0" xfId="0" applyNumberFormat="1" applyFill="1" applyAlignment="1">
      <alignment wrapText="1"/>
    </xf>
    <xf numFmtId="195" fontId="0" fillId="0" borderId="0" xfId="0" applyNumberFormat="1"/>
    <xf numFmtId="195" fontId="18" fillId="2" borderId="4" xfId="20" applyNumberFormat="1" applyFont="1" applyBorder="1" applyAlignment="1">
      <alignment horizontal="center" wrapText="1"/>
    </xf>
    <xf numFmtId="195" fontId="0" fillId="0" borderId="0" xfId="0" applyNumberFormat="1" applyFont="1" applyFill="1"/>
    <xf numFmtId="195" fontId="0" fillId="0" borderId="0" xfId="0" applyNumberFormat="1" applyFill="1" applyAlignment="1">
      <alignment/>
    </xf>
    <xf numFmtId="195" fontId="0" fillId="0" borderId="6" xfId="0" applyNumberFormat="1" applyFill="1" applyBorder="1"/>
    <xf numFmtId="195" fontId="0" fillId="0" borderId="6" xfId="0" applyNumberFormat="1" applyFill="1" applyBorder="1" applyAlignment="1">
      <alignment/>
    </xf>
  </cellXfs>
  <cellStyles count="33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% - Accent5" xfId="20" builtinId="46"/>
    <cellStyle name="40% - Accent3" xfId="21" builtinId="39"/>
    <cellStyle name="60% - Accent2" xfId="22" builtinId="36"/>
    <cellStyle name="Accent1" xfId="23" builtinId="29"/>
    <cellStyle name="Accent2" xfId="24" builtinId="33"/>
    <cellStyle name="Calculation" xfId="25" builtinId="22"/>
    <cellStyle name="Comma 2" xfId="26"/>
    <cellStyle name="Good" xfId="27" builtinId="26"/>
    <cellStyle name="Input" xfId="28" builtinId="20"/>
    <cellStyle name="Neutral" xfId="29" builtinId="28"/>
    <cellStyle name="Normal 10" xfId="30"/>
    <cellStyle name="Normal 2" xfId="31"/>
    <cellStyle name="Normal 4" xfId="32"/>
    <cellStyle name="Normal 4 2" xfId="33"/>
    <cellStyle name="Normal 8" xfId="34"/>
    <cellStyle name="Normal 9 2" xfId="35"/>
    <cellStyle name="Normale_B2020" xfId="36"/>
    <cellStyle name="Percent 2" xfId="37"/>
    <cellStyle name="Percent 3" xfId="38"/>
    <cellStyle name="Percent 3 2" xfId="39"/>
    <cellStyle name="Percent 3 3" xfId="40"/>
    <cellStyle name="Percent 4" xfId="41"/>
    <cellStyle name="Percent 4 2" xfId="42"/>
    <cellStyle name="Percent 4 3" xfId="43"/>
    <cellStyle name="Percent 5" xfId="44"/>
    <cellStyle name="Percent 6" xfId="45"/>
    <cellStyle name="Standard_Sce_D_Extraction" xfId="4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6" Type="http://schemas.openxmlformats.org/officeDocument/2006/relationships/calcChain" Target="calcChain.xml" /><Relationship Id="rId14" Type="http://schemas.openxmlformats.org/officeDocument/2006/relationships/externalLink" Target="externalLinks/externalLink1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9" Type="http://schemas.openxmlformats.org/officeDocument/2006/relationships/worksheet" Target="worksheets/sheet7.xml" /><Relationship Id="rId6" Type="http://schemas.openxmlformats.org/officeDocument/2006/relationships/worksheet" Target="worksheets/sheet4.xml" /><Relationship Id="rId15" Type="http://schemas.openxmlformats.org/officeDocument/2006/relationships/externalLink" Target="externalLinks/externalLink2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1.png" /><Relationship Id="rId4" Type="http://schemas.openxmlformats.org/officeDocument/2006/relationships/image" Target="../media/image2.png" /><Relationship Id="rId2" Type="http://schemas.openxmlformats.org/officeDocument/2006/relationships/image" Target="../media/image3.png" /><Relationship Id="rId9" Type="http://schemas.openxmlformats.org/officeDocument/2006/relationships/image" Target="../media/image4.png" /><Relationship Id="rId1" Type="http://schemas.openxmlformats.org/officeDocument/2006/relationships/image" Target="../media/image5.png" /><Relationship Id="rId8" Type="http://schemas.openxmlformats.org/officeDocument/2006/relationships/image" Target="../media/image6.png" /><Relationship Id="rId6" Type="http://schemas.openxmlformats.org/officeDocument/2006/relationships/image" Target="../media/image7.png" /><Relationship Id="rId7" Type="http://schemas.openxmlformats.org/officeDocument/2006/relationships/image" Target="../media/image10.png" /><Relationship Id="rId10" Type="http://schemas.openxmlformats.org/officeDocument/2006/relationships/image" Target="../media/image8.png" /><Relationship Id="rId5" Type="http://schemas.openxmlformats.org/officeDocument/2006/relationships/image" Target="../media/image9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61590" name="Picture 6">
          <a:extLst>
            <a:ext uri="{FF2B5EF4-FFF2-40B4-BE49-F238E27FC236}">
              <a16:creationId xmlns:a16="http://schemas.microsoft.com/office/drawing/2014/main" id="{aabc47f1-6d00-48e0-b7ef-5ae44216b7c3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 bwMode="auto">
        <a:xfrm>
          <a:off x="123825" y="895350"/>
          <a:ext cx="800100" cy="22383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116</xdr:row>
      <xdr:rowOff>9525</xdr:rowOff>
    </xdr:from>
    <xdr:to>
      <xdr:col>10</xdr:col>
      <xdr:colOff>9525</xdr:colOff>
      <xdr:row>127</xdr:row>
      <xdr:rowOff>133350</xdr:rowOff>
    </xdr:to>
    <xdr:pic>
      <xdr:nvPicPr>
        <xdr:cNvPr id="61591" name="Picture 8">
          <a:extLst>
            <a:ext uri="{FF2B5EF4-FFF2-40B4-BE49-F238E27FC236}">
              <a16:creationId xmlns:a16="http://schemas.microsoft.com/office/drawing/2014/main" id="{a0cc5d61-4ded-405e-a2a6-d24ea791cdba}"/>
            </a:ext>
          </a:extLst>
        </xdr:cNvPr>
        <xdr:cNvPicPr>
          <a:picLocks noChangeAspect="1"/>
        </xdr:cNvPicPr>
      </xdr:nvPicPr>
      <xdr:blipFill>
        <a:blip r:embed="rId2"/>
        <a:stretch>
          <a:fillRect/>
        </a:stretch>
      </xdr:blipFill>
      <xdr:spPr bwMode="auto">
        <a:xfrm>
          <a:off x="1095375" y="18859500"/>
          <a:ext cx="4029075" cy="19050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19050</xdr:colOff>
      <xdr:row>6</xdr:row>
      <xdr:rowOff>0</xdr:rowOff>
    </xdr:from>
    <xdr:to>
      <xdr:col>8</xdr:col>
      <xdr:colOff>533400</xdr:colOff>
      <xdr:row>14</xdr:row>
      <xdr:rowOff>66675</xdr:rowOff>
    </xdr:to>
    <xdr:pic>
      <xdr:nvPicPr>
        <xdr:cNvPr id="61592" name="Picture 3">
          <a:extLst>
            <a:ext uri="{FF2B5EF4-FFF2-40B4-BE49-F238E27FC236}">
              <a16:creationId xmlns:a16="http://schemas.microsoft.com/office/drawing/2014/main" id="{f6d309d1-6f64-4827-85c1-150f8951755b}"/>
            </a:ext>
          </a:extLst>
        </xdr:cNvPr>
        <xdr:cNvPicPr>
          <a:picLocks noChangeAspect="1"/>
        </xdr:cNvPicPr>
      </xdr:nvPicPr>
      <xdr:blipFill>
        <a:blip r:embed="rId3"/>
        <a:stretch>
          <a:fillRect/>
        </a:stretch>
      </xdr:blipFill>
      <xdr:spPr bwMode="auto">
        <a:xfrm>
          <a:off x="1476375" y="1038225"/>
          <a:ext cx="2952750" cy="13620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23</xdr:row>
      <xdr:rowOff>142875</xdr:rowOff>
    </xdr:from>
    <xdr:to>
      <xdr:col>9</xdr:col>
      <xdr:colOff>38100</xdr:colOff>
      <xdr:row>47</xdr:row>
      <xdr:rowOff>104775</xdr:rowOff>
    </xdr:to>
    <xdr:pic>
      <xdr:nvPicPr>
        <xdr:cNvPr id="61593" name="Picture 4">
          <a:extLst>
            <a:ext uri="{FF2B5EF4-FFF2-40B4-BE49-F238E27FC236}">
              <a16:creationId xmlns:a16="http://schemas.microsoft.com/office/drawing/2014/main" id="{c9410942-b4c7-45c9-8dd7-6c933c9b8886}"/>
            </a:ext>
          </a:extLst>
        </xdr:cNvPr>
        <xdr:cNvPicPr>
          <a:picLocks noChangeAspect="1"/>
        </xdr:cNvPicPr>
      </xdr:nvPicPr>
      <xdr:blipFill>
        <a:blip r:embed="rId4"/>
        <a:stretch>
          <a:fillRect/>
        </a:stretch>
      </xdr:blipFill>
      <xdr:spPr bwMode="auto">
        <a:xfrm>
          <a:off x="1457325" y="3933825"/>
          <a:ext cx="3086100" cy="38481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47</xdr:row>
      <xdr:rowOff>114300</xdr:rowOff>
    </xdr:from>
    <xdr:to>
      <xdr:col>7</xdr:col>
      <xdr:colOff>495300</xdr:colOff>
      <xdr:row>57</xdr:row>
      <xdr:rowOff>19050</xdr:rowOff>
    </xdr:to>
    <xdr:pic>
      <xdr:nvPicPr>
        <xdr:cNvPr id="61594" name="Picture 5">
          <a:extLst>
            <a:ext uri="{FF2B5EF4-FFF2-40B4-BE49-F238E27FC236}">
              <a16:creationId xmlns:a16="http://schemas.microsoft.com/office/drawing/2014/main" id="{f102476d-7fc5-45c9-95b6-1b61f92c08c1}"/>
            </a:ext>
          </a:extLst>
        </xdr:cNvPr>
        <xdr:cNvPicPr>
          <a:picLocks noChangeAspect="1"/>
        </xdr:cNvPicPr>
      </xdr:nvPicPr>
      <xdr:blipFill>
        <a:blip r:embed="rId5"/>
        <a:stretch>
          <a:fillRect/>
        </a:stretch>
      </xdr:blipFill>
      <xdr:spPr bwMode="auto">
        <a:xfrm>
          <a:off x="1457325" y="7791450"/>
          <a:ext cx="2324100" cy="15240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57</xdr:row>
      <xdr:rowOff>19050</xdr:rowOff>
    </xdr:from>
    <xdr:to>
      <xdr:col>8</xdr:col>
      <xdr:colOff>561975</xdr:colOff>
      <xdr:row>78</xdr:row>
      <xdr:rowOff>47625</xdr:rowOff>
    </xdr:to>
    <xdr:pic>
      <xdr:nvPicPr>
        <xdr:cNvPr id="61595" name="Picture 6">
          <a:extLst>
            <a:ext uri="{FF2B5EF4-FFF2-40B4-BE49-F238E27FC236}">
              <a16:creationId xmlns:a16="http://schemas.microsoft.com/office/drawing/2014/main" id="{b2bf0753-e3c5-4131-a812-3ed29d6bf7b9}"/>
            </a:ext>
          </a:extLst>
        </xdr:cNvPr>
        <xdr:cNvPicPr>
          <a:picLocks noChangeAspect="1"/>
        </xdr:cNvPicPr>
      </xdr:nvPicPr>
      <xdr:blipFill>
        <a:blip r:embed="rId6"/>
        <a:stretch>
          <a:fillRect/>
        </a:stretch>
      </xdr:blipFill>
      <xdr:spPr bwMode="auto">
        <a:xfrm>
          <a:off x="1457325" y="9315450"/>
          <a:ext cx="3000375" cy="342900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8</xdr:col>
      <xdr:colOff>466725</xdr:colOff>
      <xdr:row>23</xdr:row>
      <xdr:rowOff>28575</xdr:rowOff>
    </xdr:to>
    <xdr:pic>
      <xdr:nvPicPr>
        <xdr:cNvPr id="61596" name="Picture 7">
          <a:extLst>
            <a:ext uri="{FF2B5EF4-FFF2-40B4-BE49-F238E27FC236}">
              <a16:creationId xmlns:a16="http://schemas.microsoft.com/office/drawing/2014/main" id="{0219cfa0-4f3b-4679-83be-4b69802f9193}"/>
            </a:ext>
          </a:extLst>
        </xdr:cNvPr>
        <xdr:cNvPicPr>
          <a:picLocks noChangeAspect="1"/>
        </xdr:cNvPicPr>
      </xdr:nvPicPr>
      <xdr:blipFill>
        <a:blip r:embed="rId7"/>
        <a:stretch>
          <a:fillRect/>
        </a:stretch>
      </xdr:blipFill>
      <xdr:spPr bwMode="auto">
        <a:xfrm>
          <a:off x="1457325" y="2495550"/>
          <a:ext cx="2905125" cy="13239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78</xdr:row>
      <xdr:rowOff>142875</xdr:rowOff>
    </xdr:from>
    <xdr:to>
      <xdr:col>9</xdr:col>
      <xdr:colOff>38100</xdr:colOff>
      <xdr:row>103</xdr:row>
      <xdr:rowOff>0</xdr:rowOff>
    </xdr:to>
    <xdr:pic>
      <xdr:nvPicPr>
        <xdr:cNvPr id="61597" name="Picture 8">
          <a:extLst>
            <a:ext uri="{FF2B5EF4-FFF2-40B4-BE49-F238E27FC236}">
              <a16:creationId xmlns:a16="http://schemas.microsoft.com/office/drawing/2014/main" id="{18d0353f-14d8-4e85-abf5-f026248f7818}"/>
            </a:ext>
          </a:extLst>
        </xdr:cNvPr>
        <xdr:cNvPicPr>
          <a:picLocks noChangeAspect="1"/>
        </xdr:cNvPicPr>
      </xdr:nvPicPr>
      <xdr:blipFill>
        <a:blip r:embed="rId8"/>
        <a:stretch>
          <a:fillRect/>
        </a:stretch>
      </xdr:blipFill>
      <xdr:spPr bwMode="auto">
        <a:xfrm>
          <a:off x="1457325" y="12839700"/>
          <a:ext cx="3086100" cy="39052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102</xdr:row>
      <xdr:rowOff>142875</xdr:rowOff>
    </xdr:from>
    <xdr:to>
      <xdr:col>7</xdr:col>
      <xdr:colOff>533400</xdr:colOff>
      <xdr:row>112</xdr:row>
      <xdr:rowOff>104775</xdr:rowOff>
    </xdr:to>
    <xdr:pic>
      <xdr:nvPicPr>
        <xdr:cNvPr id="61598" name="Picture 9">
          <a:extLst>
            <a:ext uri="{FF2B5EF4-FFF2-40B4-BE49-F238E27FC236}">
              <a16:creationId xmlns:a16="http://schemas.microsoft.com/office/drawing/2014/main" id="{96ecdfb0-3a26-4d09-ab3c-a06019212e5e}"/>
            </a:ext>
          </a:extLst>
        </xdr:cNvPr>
        <xdr:cNvPicPr>
          <a:picLocks noChangeAspect="1"/>
        </xdr:cNvPicPr>
      </xdr:nvPicPr>
      <xdr:blipFill>
        <a:blip r:embed="rId9"/>
        <a:stretch>
          <a:fillRect/>
        </a:stretch>
      </xdr:blipFill>
      <xdr:spPr bwMode="auto">
        <a:xfrm>
          <a:off x="1457325" y="16725900"/>
          <a:ext cx="2362200" cy="1581150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112</xdr:row>
      <xdr:rowOff>114300</xdr:rowOff>
    </xdr:from>
    <xdr:to>
      <xdr:col>8</xdr:col>
      <xdr:colOff>495300</xdr:colOff>
      <xdr:row>133</xdr:row>
      <xdr:rowOff>133350</xdr:rowOff>
    </xdr:to>
    <xdr:pic>
      <xdr:nvPicPr>
        <xdr:cNvPr id="61599" name="Picture 10">
          <a:extLst>
            <a:ext uri="{FF2B5EF4-FFF2-40B4-BE49-F238E27FC236}">
              <a16:creationId xmlns:a16="http://schemas.microsoft.com/office/drawing/2014/main" id="{44487c50-471c-4608-83ef-04bf41e99e74}"/>
            </a:ext>
          </a:extLst>
        </xdr:cNvPr>
        <xdr:cNvPicPr>
          <a:picLocks noChangeAspect="1"/>
        </xdr:cNvPicPr>
      </xdr:nvPicPr>
      <xdr:blipFill>
        <a:blip r:embed="rId10"/>
        <a:stretch>
          <a:fillRect/>
        </a:stretch>
      </xdr:blipFill>
      <xdr:spPr bwMode="auto">
        <a:xfrm>
          <a:off x="1457325" y="18316575"/>
          <a:ext cx="2933700" cy="3419475"/>
        </a:xfrm>
        <a:prstGeom prst="rect"/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822960</xdr:colOff>
      <xdr:row>30</xdr:row>
      <xdr:rowOff>0</xdr:rowOff>
    </xdr:from>
    <xdr:to>
      <xdr:col>14</xdr:col>
      <xdr:colOff>398145</xdr:colOff>
      <xdr:row>36</xdr:row>
      <xdr:rowOff>9525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6928c711-be1e-4da5-8058-7e213f806565}"/>
            </a:ext>
          </a:extLst>
        </xdr:cNvPr>
        <xdr:cNvSpPr txBox="1"/>
      </xdr:nvSpPr>
      <xdr:spPr>
        <a:xfrm>
          <a:off x="6524625" y="5210175"/>
          <a:ext cx="6457950" cy="981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10</xdr:col>
      <xdr:colOff>123824</xdr:colOff>
      <xdr:row>16</xdr:row>
      <xdr:rowOff>0</xdr:rowOff>
    </xdr:from>
    <xdr:to>
      <xdr:col>14</xdr:col>
      <xdr:colOff>3811972</xdr:colOff>
      <xdr:row>22</xdr:row>
      <xdr:rowOff>76200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6cf1adef-8ca1-488a-88f8-e33930f1b4e7}"/>
            </a:ext>
          </a:extLst>
        </xdr:cNvPr>
        <xdr:cNvSpPr txBox="1"/>
      </xdr:nvSpPr>
      <xdr:spPr>
        <a:xfrm>
          <a:off x="8753475" y="3400425"/>
          <a:ext cx="6219825" cy="10477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aed72d85-0371-4063-b422-5dc8ec5efd9d}"/>
            </a:ext>
          </a:extLst>
        </xdr:cNvPr>
        <xdr:cNvSpPr txBox="1"/>
      </xdr:nvSpPr>
      <xdr:spPr>
        <a:xfrm>
          <a:off x="6524625" y="5372100"/>
          <a:ext cx="6457950" cy="981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123824</xdr:colOff>
      <xdr:row>29</xdr:row>
      <xdr:rowOff>0</xdr:rowOff>
    </xdr:from>
    <xdr:to>
      <xdr:col>15</xdr:col>
      <xdr:colOff>3811972</xdr:colOff>
      <xdr:row>35</xdr:row>
      <xdr:rowOff>76200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94cf1f81-1122-4a8f-928f-c10b24ad3d24}"/>
            </a:ext>
          </a:extLst>
        </xdr:cNvPr>
        <xdr:cNvSpPr txBox="1"/>
      </xdr:nvSpPr>
      <xdr:spPr>
        <a:xfrm>
          <a:off x="6877050" y="5362575"/>
          <a:ext cx="7124700" cy="10477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822960</xdr:colOff>
      <xdr:row>31</xdr:row>
      <xdr:rowOff>0</xdr:rowOff>
    </xdr:from>
    <xdr:to>
      <xdr:col>14</xdr:col>
      <xdr:colOff>398145</xdr:colOff>
      <xdr:row>37</xdr:row>
      <xdr:rowOff>9525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1b364b05-4157-43fb-a2dd-3090edb5e5e1}"/>
            </a:ext>
          </a:extLst>
        </xdr:cNvPr>
        <xdr:cNvSpPr txBox="1"/>
      </xdr:nvSpPr>
      <xdr:spPr>
        <a:xfrm>
          <a:off x="6524625" y="5372100"/>
          <a:ext cx="6457950" cy="981075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123824</xdr:colOff>
      <xdr:row>29</xdr:row>
      <xdr:rowOff>0</xdr:rowOff>
    </xdr:from>
    <xdr:to>
      <xdr:col>15</xdr:col>
      <xdr:colOff>3811972</xdr:colOff>
      <xdr:row>35</xdr:row>
      <xdr:rowOff>76200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c1b4e288-69b9-41de-a735-5785abcbb1cd}"/>
            </a:ext>
          </a:extLst>
        </xdr:cNvPr>
        <xdr:cNvSpPr txBox="1"/>
      </xdr:nvSpPr>
      <xdr:spPr>
        <a:xfrm>
          <a:off x="6877050" y="5362575"/>
          <a:ext cx="7210425" cy="10477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Declare  demand residential sector 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demand commodity and  residential carbon dioxide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 environmental commodity (FI_COMM table) and define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technology to deliver the  residential demand commodity.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24</xdr:row>
      <xdr:rowOff>104775</xdr:rowOff>
    </xdr:from>
    <xdr:to>
      <xdr:col>5</xdr:col>
      <xdr:colOff>0</xdr:colOff>
      <xdr:row>28</xdr:row>
      <xdr:rowOff>9525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0ae86577-104f-47af-b2f7-48726aae91c7}"/>
            </a:ext>
          </a:extLst>
        </xdr:cNvPr>
        <xdr:cNvSpPr txBox="1"/>
      </xdr:nvSpPr>
      <xdr:spPr>
        <a:xfrm>
          <a:off x="133350" y="4191000"/>
          <a:ext cx="3238500" cy="5524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>
      <xdr:nvSpPr>
        <xdr:cNvPr id="2" name="TextBox 1">
          <a:extLst>
            <a:ext uri="{FF2B5EF4-FFF2-40B4-BE49-F238E27FC236}">
              <a16:creationId xmlns:a16="http://schemas.microsoft.com/office/drawing/2014/main" id="{d4b40808-7ea1-475c-b228-f15f8fd66db3}"/>
            </a:ext>
          </a:extLst>
        </xdr:cNvPr>
        <xdr:cNvSpPr txBox="1"/>
      </xdr:nvSpPr>
      <xdr:spPr>
        <a:xfrm>
          <a:off x="609600" y="2076450"/>
          <a:ext cx="5238750" cy="552450"/>
        </a:xfrm>
        <a:prstGeom prst="rect"/>
        <a:solidFill>
          <a:schemeClr val="accent6">
            <a:lumMod val="20000"/>
            <a:lumOff val="80000"/>
          </a:schemeClr>
        </a:solidFill>
        <a:ln w="9525" cmpd="sng">
          <a:solidFill>
            <a:schemeClr val="bg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Define residential</a:t>
          </a:r>
          <a:r>
            <a:rPr lang="en-GB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commercial carbon dioxide emission coefficients for each unit of fuel commodity consumed.</a:t>
          </a:r>
          <a:endParaRPr lang="en-GB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\\Wolfgang\c\temphold\TMPL_RES.xls" TargetMode="External" 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EnergyBalanc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nergyBalance"/>
      <sheetName val="EB1"/>
      <sheetName val="EB2"/>
      <sheetName val="RES&amp;OBJ"/>
    </sheetNames>
    <sheetDataSet>
      <sheetData sheetId="0"/>
      <sheetData sheetId="1"/>
      <sheetData sheetId="2">
        <row r="16">
          <cell r="D16">
            <v>124.79425</v>
          </cell>
          <cell r="E16">
            <v>3095.8758</v>
          </cell>
          <cell r="G16">
            <v>862.053</v>
          </cell>
          <cell r="H16">
            <v>72.9495</v>
          </cell>
          <cell r="I16">
            <v>190.176</v>
          </cell>
          <cell r="J16">
            <v>3.168</v>
          </cell>
          <cell r="K16">
            <v>0</v>
          </cell>
          <cell r="L16">
            <v>15.38</v>
          </cell>
          <cell r="M16">
            <v>0.92</v>
          </cell>
          <cell r="N16">
            <v>0</v>
          </cell>
          <cell r="O16">
            <v>298.48175</v>
          </cell>
          <cell r="P16">
            <v>0</v>
          </cell>
          <cell r="Q16">
            <v>0</v>
          </cell>
          <cell r="R16">
            <v>50</v>
          </cell>
          <cell r="S16">
            <v>0</v>
          </cell>
          <cell r="T16">
            <v>432.7425</v>
          </cell>
          <cell r="U16">
            <v>1435.871</v>
          </cell>
        </row>
        <row r="17">
          <cell r="D17">
            <v>19.92375</v>
          </cell>
          <cell r="E17">
            <v>1051.038</v>
          </cell>
          <cell r="G17">
            <v>368.844</v>
          </cell>
          <cell r="H17">
            <v>1.677</v>
          </cell>
          <cell r="I17">
            <v>31.602</v>
          </cell>
          <cell r="J17">
            <v>5.72</v>
          </cell>
          <cell r="K17">
            <v>0</v>
          </cell>
          <cell r="L17">
            <v>19.32</v>
          </cell>
          <cell r="M17">
            <v>0.242</v>
          </cell>
          <cell r="N17">
            <v>0</v>
          </cell>
          <cell r="O17">
            <v>13</v>
          </cell>
          <cell r="P17">
            <v>0</v>
          </cell>
          <cell r="Q17">
            <v>0</v>
          </cell>
          <cell r="R17">
            <v>7.5</v>
          </cell>
          <cell r="S17">
            <v>0.6085</v>
          </cell>
          <cell r="T17">
            <v>127.323</v>
          </cell>
          <cell r="U17">
            <v>1263.6955</v>
          </cell>
        </row>
        <row r="18">
          <cell r="D18">
            <v>663.9451</v>
          </cell>
          <cell r="E18">
            <v>2662.2966</v>
          </cell>
          <cell r="G18">
            <v>298.68</v>
          </cell>
          <cell r="H18">
            <v>36.3565</v>
          </cell>
          <cell r="I18">
            <v>142.9715</v>
          </cell>
          <cell r="J18">
            <v>7.766</v>
          </cell>
          <cell r="K18">
            <v>44.066</v>
          </cell>
          <cell r="L18">
            <v>286.0505</v>
          </cell>
          <cell r="M18">
            <v>191.573</v>
          </cell>
          <cell r="N18">
            <v>0</v>
          </cell>
          <cell r="O18">
            <v>180.41775</v>
          </cell>
          <cell r="P18">
            <v>0</v>
          </cell>
          <cell r="Q18">
            <v>0</v>
          </cell>
          <cell r="R18">
            <v>0</v>
          </cell>
          <cell r="S18">
            <v>58.596</v>
          </cell>
          <cell r="T18">
            <v>316.7915</v>
          </cell>
          <cell r="U18">
            <v>2044.222</v>
          </cell>
        </row>
        <row r="19">
          <cell r="G19">
            <v>366.588</v>
          </cell>
          <cell r="H19">
            <v>0.473</v>
          </cell>
          <cell r="I19">
            <v>16.169</v>
          </cell>
          <cell r="J19">
            <v>1.716</v>
          </cell>
          <cell r="K19">
            <v>0</v>
          </cell>
          <cell r="L19">
            <v>13.74</v>
          </cell>
          <cell r="M19">
            <v>0</v>
          </cell>
          <cell r="N19">
            <v>0</v>
          </cell>
          <cell r="O19">
            <v>15.7715</v>
          </cell>
          <cell r="P19">
            <v>0</v>
          </cell>
          <cell r="Q19">
            <v>0</v>
          </cell>
          <cell r="R19">
            <v>0</v>
          </cell>
          <cell r="S19">
            <v>0.0005</v>
          </cell>
          <cell r="T19">
            <v>7.787</v>
          </cell>
          <cell r="U19">
            <v>9.693</v>
          </cell>
        </row>
        <row r="20">
          <cell r="D20">
            <v>0.1946</v>
          </cell>
          <cell r="E20">
            <v>12.7494</v>
          </cell>
          <cell r="G20">
            <v>3856.2855</v>
          </cell>
          <cell r="H20">
            <v>1047.652</v>
          </cell>
          <cell r="I20">
            <v>94.231</v>
          </cell>
          <cell r="J20">
            <v>2394.216</v>
          </cell>
          <cell r="K20">
            <v>0</v>
          </cell>
          <cell r="L20">
            <v>33.24</v>
          </cell>
          <cell r="M20">
            <v>0</v>
          </cell>
          <cell r="N20">
            <v>0</v>
          </cell>
          <cell r="O20">
            <v>40.25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132.986</v>
          </cell>
        </row>
        <row r="21">
          <cell r="D21">
            <v>416.230849999999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313.519</v>
          </cell>
          <cell r="U21">
            <v>325</v>
          </cell>
        </row>
        <row r="22">
          <cell r="D22">
            <v>36</v>
          </cell>
          <cell r="E22">
            <v>380.2938</v>
          </cell>
          <cell r="G22">
            <v>76.465</v>
          </cell>
          <cell r="H22">
            <v>4.7945</v>
          </cell>
          <cell r="I22">
            <v>199.8735</v>
          </cell>
          <cell r="J22">
            <v>3.146</v>
          </cell>
          <cell r="K22">
            <v>899.206</v>
          </cell>
          <cell r="L22">
            <v>52.04</v>
          </cell>
          <cell r="M22">
            <v>800.729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234</v>
          </cell>
          <cell r="E23">
            <v>0</v>
          </cell>
          <cell r="G23">
            <v>146.906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902.14</v>
          </cell>
          <cell r="M23">
            <v>6.5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3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2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2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3.bin" /><Relationship Id="rId2" Type="http://schemas.openxmlformats.org/officeDocument/2006/relationships/drawing" Target="../drawings/drawing3.xml" /><Relationship Id="rId3" Type="http://schemas.openxmlformats.org/officeDocument/2006/relationships/vmlDrawing" Target="../drawings/vmlDrawing3.vml" /><Relationship Id="rId1" Type="http://schemas.openxmlformats.org/officeDocument/2006/relationships/comments" Target="../comments4.xml" /></Relationships>
</file>

<file path=xl/worksheets/_rels/sheet5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4.bin" /><Relationship Id="rId2" Type="http://schemas.openxmlformats.org/officeDocument/2006/relationships/drawing" Target="../drawings/drawing4.xml" /><Relationship Id="rId3" Type="http://schemas.openxmlformats.org/officeDocument/2006/relationships/vmlDrawing" Target="../drawings/vmlDrawing4.vml" /><Relationship Id="rId1" Type="http://schemas.openxmlformats.org/officeDocument/2006/relationships/comments" Target="../comments5.xml" /></Relationships>
</file>

<file path=xl/worksheets/_rels/sheet6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5.bin" /><Relationship Id="rId2" Type="http://schemas.openxmlformats.org/officeDocument/2006/relationships/drawing" Target="../drawings/drawing5.xml" /><Relationship Id="rId3" Type="http://schemas.openxmlformats.org/officeDocument/2006/relationships/vmlDrawing" Target="../drawings/vmlDrawing5.vml" /><Relationship Id="rId1" Type="http://schemas.openxmlformats.org/officeDocument/2006/relationships/comments" Target="../comments6.xml" /></Relationships>
</file>

<file path=xl/worksheets/_rels/sheet7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6.bin" /><Relationship Id="rId2" Type="http://schemas.openxmlformats.org/officeDocument/2006/relationships/drawing" Target="../drawings/drawing6.xml" /><Relationship Id="rId3" Type="http://schemas.openxmlformats.org/officeDocument/2006/relationships/vmlDrawing" Target="../drawings/vmlDrawing6.vml" /><Relationship Id="rId1" Type="http://schemas.openxmlformats.org/officeDocument/2006/relationships/comments" Target="../comments7.xml" /></Relationships>
</file>

<file path=xl/worksheets/_rels/sheet8.xml.rels><?xml version="1.0" encoding="UTF-8" standalone="yes"?><Relationships xmlns="http://schemas.openxmlformats.org/package/2006/relationships"><Relationship Id="rId4" Type="http://schemas.openxmlformats.org/officeDocument/2006/relationships/printerSettings" Target="../printerSettings/printerSettings7.bin" /><Relationship Id="rId2" Type="http://schemas.openxmlformats.org/officeDocument/2006/relationships/drawing" Target="../drawings/drawing7.xml" /><Relationship Id="rId3" Type="http://schemas.openxmlformats.org/officeDocument/2006/relationships/vmlDrawing" Target="../drawings/vmlDrawing7.vml" /><Relationship Id="rId1" Type="http://schemas.openxmlformats.org/officeDocument/2006/relationships/comments" Target="../comments8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80008602142"/>
  </sheetPr>
  <dimension ref="A1:AA33"/>
  <sheetViews>
    <sheetView tabSelected="1" zoomScale="80" zoomScaleNormal="80" workbookViewId="0" topLeftCell="A1">
      <selection pane="topLeft" activeCell="AC13" sqref="AC13"/>
    </sheetView>
  </sheetViews>
  <sheetFormatPr defaultRowHeight="12.75"/>
  <cols>
    <col min="1" max="1" width="3" bestFit="1" customWidth="1"/>
    <col min="2" max="2" width="18.4285714285714" bestFit="1" customWidth="1"/>
    <col min="3" max="3" width="41.1428571428571" bestFit="1" customWidth="1"/>
    <col min="4" max="12" width="10.8571428571429" customWidth="1"/>
    <col min="13" max="13" width="12.5714285714286" customWidth="1"/>
    <col min="14" max="21" width="10.8571428571429" customWidth="1"/>
    <col min="22" max="22" width="7.28571428571429" bestFit="1" customWidth="1"/>
    <col min="23" max="23" width="2" bestFit="1" customWidth="1"/>
    <col min="24" max="24" width="13.5714285714286" bestFit="1" customWidth="1"/>
    <col min="26" max="26" width="6.71428571428571" bestFit="1" customWidth="1"/>
    <col min="27" max="27" width="9.28571428571429" bestFit="1" customWidth="1"/>
    <col min="28" max="28" width="2" bestFit="1" customWidth="1"/>
  </cols>
  <sheetData>
    <row r="1" spans="24:27" s="5" customFormat="1" ht="12.75">
      <c r="X1" s="27" t="s">
        <v>93</v>
      </c>
      <c r="Y1" s="1" t="s">
        <v>94</v>
      </c>
      <c r="Z1" s="1" t="s">
        <v>95</v>
      </c>
      <c r="AA1" s="1" t="s">
        <v>107</v>
      </c>
    </row>
    <row r="2" spans="3:27" ht="15.75">
      <c r="C2" s="6"/>
      <c r="D2" s="54" t="s">
        <v>44</v>
      </c>
      <c r="E2" s="54" t="s">
        <v>45</v>
      </c>
      <c r="F2" s="54" t="s">
        <v>46</v>
      </c>
      <c r="G2" s="54" t="s">
        <v>134</v>
      </c>
      <c r="H2" s="54" t="s">
        <v>135</v>
      </c>
      <c r="I2" s="54" t="s">
        <v>136</v>
      </c>
      <c r="J2" s="54" t="s">
        <v>137</v>
      </c>
      <c r="K2" s="54" t="s">
        <v>138</v>
      </c>
      <c r="L2" s="54" t="s">
        <v>139</v>
      </c>
      <c r="M2" s="54" t="s">
        <v>140</v>
      </c>
      <c r="N2" s="54" t="s">
        <v>47</v>
      </c>
      <c r="O2" s="54" t="s">
        <v>165</v>
      </c>
      <c r="P2" s="54" t="s">
        <v>166</v>
      </c>
      <c r="Q2" s="54" t="s">
        <v>167</v>
      </c>
      <c r="R2" s="54" t="s">
        <v>168</v>
      </c>
      <c r="S2" s="54" t="s">
        <v>48</v>
      </c>
      <c r="T2" s="54" t="s">
        <v>49</v>
      </c>
      <c r="U2" s="54" t="s">
        <v>50</v>
      </c>
      <c r="V2" s="54" t="s">
        <v>160</v>
      </c>
      <c r="X2" s="7"/>
      <c r="Y2" s="53" t="s">
        <v>153</v>
      </c>
      <c r="Z2" s="13" t="s">
        <v>76</v>
      </c>
      <c r="AA2" s="13" t="s">
        <v>108</v>
      </c>
    </row>
    <row r="3" spans="3:22" ht="38.25">
      <c r="C3" s="79" t="s">
        <v>131</v>
      </c>
      <c r="D3" s="55" t="s">
        <v>51</v>
      </c>
      <c r="E3" s="55" t="s">
        <v>52</v>
      </c>
      <c r="F3" s="55" t="s">
        <v>133</v>
      </c>
      <c r="G3" s="55" t="s">
        <v>147</v>
      </c>
      <c r="H3" s="55" t="s">
        <v>143</v>
      </c>
      <c r="I3" s="55" t="s">
        <v>136</v>
      </c>
      <c r="J3" s="55" t="s">
        <v>144</v>
      </c>
      <c r="K3" s="55" t="s">
        <v>145</v>
      </c>
      <c r="L3" s="55" t="s">
        <v>141</v>
      </c>
      <c r="M3" s="55" t="s">
        <v>142</v>
      </c>
      <c r="N3" s="55" t="s">
        <v>53</v>
      </c>
      <c r="O3" s="55" t="s">
        <v>169</v>
      </c>
      <c r="P3" s="55" t="s">
        <v>170</v>
      </c>
      <c r="Q3" s="55" t="s">
        <v>171</v>
      </c>
      <c r="R3" s="55" t="s">
        <v>172</v>
      </c>
      <c r="S3" s="55" t="s">
        <v>54</v>
      </c>
      <c r="T3" s="55" t="s">
        <v>55</v>
      </c>
      <c r="U3" s="55" t="s">
        <v>87</v>
      </c>
      <c r="V3" s="55" t="s">
        <v>56</v>
      </c>
    </row>
    <row r="4" spans="2:22" ht="12.75">
      <c r="B4" s="52"/>
      <c r="C4" s="101" t="s">
        <v>57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102"/>
    </row>
    <row r="5" spans="1:22" ht="15">
      <c r="A5" s="5"/>
      <c r="B5" s="56" t="s">
        <v>58</v>
      </c>
      <c r="C5" s="65" t="s">
        <v>59</v>
      </c>
      <c r="D5" s="61">
        <f>'[2]EB2'!D16</f>
        <v>124.79425000000001</v>
      </c>
      <c r="E5" s="61">
        <f>'[2]EB2'!E16</f>
        <v>3095.8757999999998</v>
      </c>
      <c r="F5" s="103">
        <f>'[2]EB2'!F16</f>
        <v>0</v>
      </c>
      <c r="G5" s="61">
        <f>'[2]EB2'!G16</f>
        <v>862.053</v>
      </c>
      <c r="H5" s="61">
        <f>'[2]EB2'!H16</f>
        <v>72.9495</v>
      </c>
      <c r="I5" s="61">
        <f>'[2]EB2'!I16</f>
        <v>190.17599999999999</v>
      </c>
      <c r="J5" s="61">
        <f>'[2]EB2'!J16</f>
        <v>3.1680000000000001</v>
      </c>
      <c r="K5" s="103">
        <f>'[2]EB2'!K16</f>
        <v>0</v>
      </c>
      <c r="L5" s="61">
        <f>'[2]EB2'!L16</f>
        <v>15.380000000000001</v>
      </c>
      <c r="M5" s="61">
        <f>'[2]EB2'!M16</f>
        <v>0.92000000000000004</v>
      </c>
      <c r="N5" s="103">
        <f>'[2]EB2'!N16</f>
        <v>0</v>
      </c>
      <c r="O5" s="61">
        <f>'[2]EB2'!O16</f>
        <v>298.48174999999992</v>
      </c>
      <c r="P5" s="103">
        <f>'[2]EB2'!P16</f>
        <v>0</v>
      </c>
      <c r="Q5" s="103">
        <f>'[2]EB2'!Q16</f>
        <v>0</v>
      </c>
      <c r="R5" s="61">
        <f>'[2]EB2'!R16</f>
        <v>50</v>
      </c>
      <c r="S5" s="103">
        <f>'[2]EB2'!S16</f>
        <v>0</v>
      </c>
      <c r="T5" s="103">
        <f>'[2]EB2'!T16</f>
        <v>432.74250000000001</v>
      </c>
      <c r="U5" s="61">
        <f>'[2]EB2'!U16</f>
        <v>1435.8710000000001</v>
      </c>
      <c r="V5" s="104">
        <f>SUM(D5:U5)</f>
        <v>6582.4117999999999</v>
      </c>
    </row>
    <row r="6" spans="1:22" ht="15">
      <c r="A6" s="5"/>
      <c r="B6" s="56" t="s">
        <v>60</v>
      </c>
      <c r="C6" s="66" t="s">
        <v>61</v>
      </c>
      <c r="D6" s="61">
        <f>'[2]EB2'!D17</f>
        <v>19.923749999999998</v>
      </c>
      <c r="E6" s="61">
        <f>'[2]EB2'!E17</f>
        <v>1051.038</v>
      </c>
      <c r="F6" s="103">
        <f>'[2]EB2'!F17</f>
        <v>0</v>
      </c>
      <c r="G6" s="61">
        <f>'[2]EB2'!G17</f>
        <v>368.84399999999999</v>
      </c>
      <c r="H6" s="61">
        <f>'[2]EB2'!H17</f>
        <v>1.677</v>
      </c>
      <c r="I6" s="61">
        <f>'[2]EB2'!I17</f>
        <v>31.602</v>
      </c>
      <c r="J6" s="61">
        <f>'[2]EB2'!J17</f>
        <v>5.7199999999999998</v>
      </c>
      <c r="K6" s="103">
        <f>'[2]EB2'!K17</f>
        <v>0</v>
      </c>
      <c r="L6" s="61">
        <f>'[2]EB2'!L17</f>
        <v>19.32</v>
      </c>
      <c r="M6" s="61">
        <f>'[2]EB2'!M17</f>
        <v>0.24199999999999999</v>
      </c>
      <c r="N6" s="103">
        <f>'[2]EB2'!N17</f>
        <v>0</v>
      </c>
      <c r="O6" s="61">
        <f>'[2]EB2'!O17</f>
        <v>13</v>
      </c>
      <c r="P6" s="103">
        <f>'[2]EB2'!P17</f>
        <v>0</v>
      </c>
      <c r="Q6" s="103">
        <f>'[2]EB2'!Q17</f>
        <v>0</v>
      </c>
      <c r="R6" s="61">
        <f>'[2]EB2'!R17</f>
        <v>7.5</v>
      </c>
      <c r="S6" s="103">
        <f>'[2]EB2'!S17</f>
        <v>0.60850000000000004</v>
      </c>
      <c r="T6" s="103">
        <f>'[2]EB2'!T17</f>
        <v>127.32299999999999</v>
      </c>
      <c r="U6" s="61">
        <f>'[2]EB2'!U17</f>
        <v>1263.6955</v>
      </c>
      <c r="V6" s="104">
        <f t="shared" si="0" ref="V6:V12">SUM(D6:U6)</f>
        <v>2910.4937500000001</v>
      </c>
    </row>
    <row r="7" spans="1:22" ht="12.75">
      <c r="A7" s="5"/>
      <c r="B7" s="56" t="s">
        <v>62</v>
      </c>
      <c r="C7" s="66" t="s">
        <v>63</v>
      </c>
      <c r="D7" s="103">
        <f>'[2]EB2'!D18</f>
        <v>663.94509999999991</v>
      </c>
      <c r="E7" s="103">
        <f>'[2]EB2'!E18</f>
        <v>2662.2965999999997</v>
      </c>
      <c r="F7" s="103">
        <f>'[2]EB2'!F18</f>
        <v>0</v>
      </c>
      <c r="G7" s="103">
        <f>'[2]EB2'!G18</f>
        <v>298.68000000000001</v>
      </c>
      <c r="H7" s="103">
        <f>'[2]EB2'!H18</f>
        <v>36.356499999999997</v>
      </c>
      <c r="I7" s="103">
        <f>'[2]EB2'!I18</f>
        <v>142.97149999999999</v>
      </c>
      <c r="J7" s="103">
        <f>'[2]EB2'!J18</f>
        <v>7.766</v>
      </c>
      <c r="K7" s="103">
        <f>'[2]EB2'!K18</f>
        <v>44.066000000000003</v>
      </c>
      <c r="L7" s="103">
        <f>'[2]EB2'!L18</f>
        <v>286.0505</v>
      </c>
      <c r="M7" s="103">
        <f>'[2]EB2'!M18</f>
        <v>191.57300000000001</v>
      </c>
      <c r="N7" s="103">
        <f>'[2]EB2'!N18</f>
        <v>0</v>
      </c>
      <c r="O7" s="103">
        <f>'[2]EB2'!O18</f>
        <v>180.41775000000007</v>
      </c>
      <c r="P7" s="103">
        <f>'[2]EB2'!P18</f>
        <v>0</v>
      </c>
      <c r="Q7" s="103">
        <f>'[2]EB2'!Q18</f>
        <v>0</v>
      </c>
      <c r="R7" s="103">
        <f>'[2]EB2'!R18</f>
        <v>0</v>
      </c>
      <c r="S7" s="103">
        <f>'[2]EB2'!S18</f>
        <v>58.595999999999997</v>
      </c>
      <c r="T7" s="103">
        <f>'[2]EB2'!T18</f>
        <v>316.79149999999998</v>
      </c>
      <c r="U7" s="103">
        <f>'[2]EB2'!U18</f>
        <v>2044.222</v>
      </c>
      <c r="V7" s="104">
        <f t="shared" si="0"/>
        <v>6933.7324499999986</v>
      </c>
    </row>
    <row r="8" spans="1:22" ht="15">
      <c r="A8" s="5"/>
      <c r="B8" s="56" t="s">
        <v>64</v>
      </c>
      <c r="C8" s="66" t="s">
        <v>65</v>
      </c>
      <c r="D8" s="103">
        <f>'[2]EB2'!D19</f>
        <v>15.434999999999999</v>
      </c>
      <c r="E8" s="103">
        <f>'[2]EB2'!E19</f>
        <v>120.72359999999999</v>
      </c>
      <c r="F8" s="103">
        <f>'[2]EB2'!F19</f>
        <v>0</v>
      </c>
      <c r="G8" s="103">
        <f>'[2]EB2'!G19</f>
        <v>366.58800000000002</v>
      </c>
      <c r="H8" s="103">
        <f>'[2]EB2'!H19</f>
        <v>0.47299999999999998</v>
      </c>
      <c r="I8" s="103">
        <f>'[2]EB2'!I19</f>
        <v>16.169</v>
      </c>
      <c r="J8" s="103">
        <f>'[2]EB2'!J19</f>
        <v>1.716</v>
      </c>
      <c r="K8" s="103">
        <f>'[2]EB2'!K19</f>
        <v>0</v>
      </c>
      <c r="L8" s="103">
        <f>'[2]EB2'!L19</f>
        <v>13.74</v>
      </c>
      <c r="M8" s="103">
        <f>'[2]EB2'!M19</f>
        <v>0</v>
      </c>
      <c r="N8" s="103">
        <f>'[2]EB2'!N19</f>
        <v>0</v>
      </c>
      <c r="O8" s="103">
        <f>'[2]EB2'!O19</f>
        <v>15.771500000000003</v>
      </c>
      <c r="P8" s="103">
        <f>'[2]EB2'!P19</f>
        <v>0</v>
      </c>
      <c r="Q8" s="103">
        <f>'[2]EB2'!Q19</f>
        <v>0</v>
      </c>
      <c r="R8" s="103">
        <f>'[2]EB2'!R19</f>
        <v>0</v>
      </c>
      <c r="S8" s="103">
        <f>'[2]EB2'!S19</f>
        <v>0.00050000000000000001</v>
      </c>
      <c r="T8" s="103">
        <f>'[2]EB2'!T19</f>
        <v>7.7869999999999999</v>
      </c>
      <c r="U8" s="103">
        <f>'[2]EB2'!U19</f>
        <v>9.6930000000000014</v>
      </c>
      <c r="V8" s="61">
        <f t="shared" si="0"/>
        <v>568.09659999999997</v>
      </c>
    </row>
    <row r="9" spans="1:22" ht="12.75">
      <c r="A9" s="5"/>
      <c r="B9" s="56" t="s">
        <v>66</v>
      </c>
      <c r="C9" s="66" t="s">
        <v>67</v>
      </c>
      <c r="D9" s="103">
        <f>'[2]EB2'!D20</f>
        <v>0.1946</v>
      </c>
      <c r="E9" s="103">
        <f>'[2]EB2'!E20</f>
        <v>12.7494</v>
      </c>
      <c r="F9" s="103">
        <f>'[2]EB2'!F20</f>
        <v>0</v>
      </c>
      <c r="G9" s="103">
        <f>'[2]EB2'!G20</f>
        <v>3856.2855</v>
      </c>
      <c r="H9" s="103">
        <f>'[2]EB2'!H20</f>
        <v>1047.652</v>
      </c>
      <c r="I9" s="103">
        <f>'[2]EB2'!I20</f>
        <v>94.230999999999995</v>
      </c>
      <c r="J9" s="103">
        <f>'[2]EB2'!J20</f>
        <v>2394.2159999999999</v>
      </c>
      <c r="K9" s="103">
        <f>'[2]EB2'!K20</f>
        <v>0</v>
      </c>
      <c r="L9" s="103">
        <f>'[2]EB2'!L20</f>
        <v>33.240000000000002</v>
      </c>
      <c r="M9" s="103">
        <f>'[2]EB2'!M20</f>
        <v>0</v>
      </c>
      <c r="N9" s="103">
        <f>'[2]EB2'!N20</f>
        <v>0</v>
      </c>
      <c r="O9" s="103">
        <f>'[2]EB2'!O20</f>
        <v>40.25</v>
      </c>
      <c r="P9" s="103">
        <f>'[2]EB2'!P20</f>
        <v>0</v>
      </c>
      <c r="Q9" s="103">
        <f>'[2]EB2'!Q20</f>
        <v>0</v>
      </c>
      <c r="R9" s="103">
        <f>'[2]EB2'!R20</f>
        <v>0</v>
      </c>
      <c r="S9" s="103">
        <f>'[2]EB2'!S20</f>
        <v>0</v>
      </c>
      <c r="T9" s="103">
        <f>'[2]EB2'!T20</f>
        <v>0</v>
      </c>
      <c r="U9" s="103">
        <f>'[2]EB2'!U20</f>
        <v>132.98599999999999</v>
      </c>
      <c r="V9" s="104">
        <f t="shared" si="0"/>
        <v>7611.8044999999993</v>
      </c>
    </row>
    <row r="10" spans="1:22" ht="12.75">
      <c r="A10" s="5"/>
      <c r="B10" s="56" t="s">
        <v>68</v>
      </c>
      <c r="C10" s="67" t="s">
        <v>69</v>
      </c>
      <c r="D10" s="60">
        <f>'[2]EB2'!D21</f>
        <v>416.23084999999924</v>
      </c>
      <c r="E10" s="60">
        <f>'[2]EB2'!E21</f>
        <v>0</v>
      </c>
      <c r="F10" s="60">
        <f>'[2]EB2'!F21</f>
        <v>0</v>
      </c>
      <c r="G10" s="60">
        <f>'[2]EB2'!G21</f>
        <v>0</v>
      </c>
      <c r="H10" s="60">
        <f>'[2]EB2'!H21</f>
        <v>0</v>
      </c>
      <c r="I10" s="60">
        <f>'[2]EB2'!I21</f>
        <v>0</v>
      </c>
      <c r="J10" s="60">
        <f>'[2]EB2'!J21</f>
        <v>0</v>
      </c>
      <c r="K10" s="60">
        <f>'[2]EB2'!K21</f>
        <v>0</v>
      </c>
      <c r="L10" s="60">
        <f>'[2]EB2'!L21</f>
        <v>0</v>
      </c>
      <c r="M10" s="60">
        <f>'[2]EB2'!M21</f>
        <v>0</v>
      </c>
      <c r="N10" s="60">
        <f>'[2]EB2'!N21</f>
        <v>0</v>
      </c>
      <c r="O10" s="60">
        <f>'[2]EB2'!O21</f>
        <v>0</v>
      </c>
      <c r="P10" s="60">
        <f>'[2]EB2'!P21</f>
        <v>0</v>
      </c>
      <c r="Q10" s="60">
        <f>'[2]EB2'!Q21</f>
        <v>0</v>
      </c>
      <c r="R10" s="60">
        <f>'[2]EB2'!R21</f>
        <v>0</v>
      </c>
      <c r="S10" s="60">
        <f>'[2]EB2'!S21</f>
        <v>0</v>
      </c>
      <c r="T10" s="60">
        <f>'[2]EB2'!T21</f>
        <v>313.51900000000001</v>
      </c>
      <c r="U10" s="60">
        <f>'[2]EB2'!U21</f>
        <v>325</v>
      </c>
      <c r="V10" s="105">
        <f t="shared" si="0"/>
        <v>1054.7498499999992</v>
      </c>
    </row>
    <row r="11" spans="1:22" ht="12.75">
      <c r="A11" s="5"/>
      <c r="B11" s="56" t="s">
        <v>85</v>
      </c>
      <c r="C11" s="66" t="s">
        <v>70</v>
      </c>
      <c r="D11" s="103">
        <f>'[2]EB2'!D22</f>
        <v>36</v>
      </c>
      <c r="E11" s="103">
        <f>'[2]EB2'!E22</f>
        <v>380.29379999999998</v>
      </c>
      <c r="F11" s="103">
        <f>'[2]EB2'!F22</f>
        <v>0</v>
      </c>
      <c r="G11" s="103">
        <f>'[2]EB2'!G22</f>
        <v>76.465000000000003</v>
      </c>
      <c r="H11" s="103">
        <f>'[2]EB2'!H22</f>
        <v>4.7945000000000002</v>
      </c>
      <c r="I11" s="103">
        <f>'[2]EB2'!I22</f>
        <v>199.87350000000001</v>
      </c>
      <c r="J11" s="103">
        <f>'[2]EB2'!J22</f>
        <v>3.1459999999999999</v>
      </c>
      <c r="K11" s="103">
        <f>'[2]EB2'!K22</f>
        <v>899.20600000000002</v>
      </c>
      <c r="L11" s="103">
        <f>'[2]EB2'!L22</f>
        <v>52.039999999999999</v>
      </c>
      <c r="M11" s="103">
        <f>'[2]EB2'!M22</f>
        <v>800.72900000000004</v>
      </c>
      <c r="N11" s="103">
        <f>'[2]EB2'!N22</f>
        <v>0</v>
      </c>
      <c r="O11" s="103">
        <f>'[2]EB2'!O22</f>
        <v>0</v>
      </c>
      <c r="P11" s="103">
        <f>'[2]EB2'!P22</f>
        <v>0</v>
      </c>
      <c r="Q11" s="103">
        <f>'[2]EB2'!Q22</f>
        <v>0</v>
      </c>
      <c r="R11" s="103">
        <f>'[2]EB2'!R22</f>
        <v>0</v>
      </c>
      <c r="S11" s="103">
        <f>'[2]EB2'!S22</f>
        <v>0</v>
      </c>
      <c r="T11" s="103">
        <f>'[2]EB2'!T22</f>
        <v>0</v>
      </c>
      <c r="U11" s="103">
        <f>'[2]EB2'!U22</f>
        <v>0</v>
      </c>
      <c r="V11" s="104">
        <f t="shared" si="0"/>
        <v>2452.5478000000003</v>
      </c>
    </row>
    <row r="12" spans="1:22" ht="12.75">
      <c r="A12" s="5"/>
      <c r="B12" s="56" t="s">
        <v>86</v>
      </c>
      <c r="C12" s="66" t="s">
        <v>71</v>
      </c>
      <c r="D12" s="103">
        <f>'[2]EB2'!D23</f>
        <v>234</v>
      </c>
      <c r="E12" s="103">
        <f>'[2]EB2'!E23</f>
        <v>0</v>
      </c>
      <c r="F12" s="103">
        <f>'[2]EB2'!F23</f>
        <v>0</v>
      </c>
      <c r="G12" s="103">
        <f>'[2]EB2'!G23</f>
        <v>146.90600000000001</v>
      </c>
      <c r="H12" s="103">
        <f>'[2]EB2'!H23</f>
        <v>0</v>
      </c>
      <c r="I12" s="103">
        <f>'[2]EB2'!I23</f>
        <v>0</v>
      </c>
      <c r="J12" s="103">
        <f>'[2]EB2'!J23</f>
        <v>0</v>
      </c>
      <c r="K12" s="103">
        <f>'[2]EB2'!K23</f>
        <v>0</v>
      </c>
      <c r="L12" s="103">
        <f>'[2]EB2'!L23</f>
        <v>902.13999999999999</v>
      </c>
      <c r="M12" s="103">
        <f>'[2]EB2'!M23</f>
        <v>6.5</v>
      </c>
      <c r="N12" s="103">
        <f>'[2]EB2'!N23</f>
        <v>0</v>
      </c>
      <c r="O12" s="60">
        <f>'[2]EB2'!O23</f>
        <v>0</v>
      </c>
      <c r="P12" s="60">
        <f>'[2]EB2'!P23</f>
        <v>0</v>
      </c>
      <c r="Q12" s="60">
        <f>'[2]EB2'!Q23</f>
        <v>0</v>
      </c>
      <c r="R12" s="103">
        <f>'[2]EB2'!R23</f>
        <v>0</v>
      </c>
      <c r="S12" s="103">
        <f>'[2]EB2'!S23</f>
        <v>0</v>
      </c>
      <c r="T12" s="103">
        <f>'[2]EB2'!T23</f>
        <v>0</v>
      </c>
      <c r="U12" s="103">
        <f>'[2]EB2'!U23</f>
        <v>0</v>
      </c>
      <c r="V12" s="104">
        <f t="shared" si="0"/>
        <v>1289.546</v>
      </c>
    </row>
    <row r="13" spans="1:22" ht="15">
      <c r="A13" s="5"/>
      <c r="B13" s="100" t="s">
        <v>88</v>
      </c>
      <c r="C13" s="64" t="s">
        <v>159</v>
      </c>
      <c r="D13" s="62">
        <f t="shared" si="1" ref="D13:V13">SUM(D5:D12)</f>
        <v>1510.5235499999992</v>
      </c>
      <c r="E13" s="62">
        <f t="shared" si="1"/>
        <v>7322.9772000000003</v>
      </c>
      <c r="F13" s="62">
        <f t="shared" si="1"/>
        <v>0</v>
      </c>
      <c r="G13" s="62">
        <f t="shared" si="1"/>
        <v>5975.8215</v>
      </c>
      <c r="H13" s="62">
        <f t="shared" si="1"/>
        <v>1163.9024999999999</v>
      </c>
      <c r="I13" s="62">
        <f t="shared" si="1"/>
        <v>675.02300000000002</v>
      </c>
      <c r="J13" s="62">
        <f t="shared" si="1"/>
        <v>2415.732</v>
      </c>
      <c r="K13" s="62">
        <f t="shared" si="1"/>
        <v>943.27200000000005</v>
      </c>
      <c r="L13" s="62">
        <f t="shared" si="1"/>
        <v>1321.9105</v>
      </c>
      <c r="M13" s="62">
        <f t="shared" si="1"/>
        <v>999.96400000000006</v>
      </c>
      <c r="N13" s="62">
        <f t="shared" si="1"/>
        <v>0</v>
      </c>
      <c r="O13" s="62">
        <f t="shared" si="1"/>
        <v>547.92100000000005</v>
      </c>
      <c r="P13" s="62">
        <f t="shared" si="1"/>
        <v>0</v>
      </c>
      <c r="Q13" s="62">
        <f t="shared" si="1"/>
        <v>0</v>
      </c>
      <c r="R13" s="62">
        <f t="shared" si="1"/>
        <v>57.5</v>
      </c>
      <c r="S13" s="62">
        <f t="shared" si="1"/>
        <v>59.204999999999998</v>
      </c>
      <c r="T13" s="62">
        <f t="shared" si="1"/>
        <v>1198.163</v>
      </c>
      <c r="U13" s="62">
        <f>SUM(U5:U12)</f>
        <v>5211.4674999999997</v>
      </c>
      <c r="V13" s="63">
        <f t="shared" si="1"/>
        <v>29403.382749999997</v>
      </c>
    </row>
    <row r="14" spans="1:13" ht="12.75">
      <c r="A14" s="5"/>
      <c r="D14" s="9"/>
      <c r="F14" s="9"/>
      <c r="G14" s="9"/>
      <c r="H14" s="9"/>
      <c r="I14" s="9"/>
      <c r="J14" s="9"/>
      <c r="K14" s="9"/>
      <c r="L14" s="9"/>
      <c r="M14" s="9"/>
    </row>
    <row r="15" spans="1:13" ht="12.75">
      <c r="A15" s="5"/>
      <c r="D15" s="9"/>
      <c r="F15" s="9"/>
      <c r="G15" s="9"/>
      <c r="H15" s="9"/>
      <c r="I15" s="9"/>
      <c r="J15" s="9"/>
      <c r="K15" s="9"/>
      <c r="L15" s="9"/>
      <c r="M15" s="9"/>
    </row>
    <row r="16" spans="1:13" ht="15">
      <c r="A16" s="5"/>
      <c r="C16" s="61" t="s">
        <v>154</v>
      </c>
      <c r="D16" s="61"/>
      <c r="E16" s="61"/>
      <c r="F16" s="9"/>
      <c r="G16" s="9"/>
      <c r="H16" s="9"/>
      <c r="I16" s="9"/>
      <c r="J16" s="9"/>
      <c r="K16" s="9"/>
      <c r="L16" s="9"/>
      <c r="M16" s="9"/>
    </row>
    <row r="17" spans="1:4" ht="12.75">
      <c r="A17" s="5"/>
      <c r="C17" s="28"/>
      <c r="D17" s="29"/>
    </row>
    <row r="18" spans="1:18" ht="12.75">
      <c r="A18" s="5"/>
      <c r="C18" s="28"/>
      <c r="D18" s="29"/>
      <c r="O18" s="31"/>
      <c r="P18" s="31"/>
      <c r="Q18" s="31"/>
      <c r="R18" s="31"/>
    </row>
    <row r="19" spans="1:22" ht="38.25">
      <c r="A19" s="5"/>
      <c r="B19" s="32" t="s">
        <v>101</v>
      </c>
      <c r="C19" s="72" t="s">
        <v>119</v>
      </c>
      <c r="D19" s="154" t="s">
        <v>51</v>
      </c>
      <c r="E19" s="155" t="s">
        <v>52</v>
      </c>
      <c r="F19" s="155" t="s">
        <v>133</v>
      </c>
      <c r="G19" s="155" t="s">
        <v>147</v>
      </c>
      <c r="H19" s="155" t="s">
        <v>143</v>
      </c>
      <c r="I19" s="155" t="s">
        <v>136</v>
      </c>
      <c r="J19" s="155" t="s">
        <v>144</v>
      </c>
      <c r="K19" s="155" t="s">
        <v>145</v>
      </c>
      <c r="L19" s="155" t="s">
        <v>141</v>
      </c>
      <c r="M19" s="155" t="s">
        <v>142</v>
      </c>
      <c r="N19" s="155" t="s">
        <v>53</v>
      </c>
      <c r="O19" s="55" t="s">
        <v>169</v>
      </c>
      <c r="P19" s="55" t="s">
        <v>170</v>
      </c>
      <c r="Q19" s="55" t="s">
        <v>171</v>
      </c>
      <c r="R19" s="55" t="s">
        <v>172</v>
      </c>
      <c r="S19" s="155" t="s">
        <v>54</v>
      </c>
      <c r="T19" s="155" t="s">
        <v>55</v>
      </c>
      <c r="U19" s="156" t="s">
        <v>87</v>
      </c>
      <c r="V19" s="55" t="s">
        <v>56</v>
      </c>
    </row>
    <row r="20" spans="1:24" ht="12.75">
      <c r="A20" s="5"/>
      <c r="B20" s="107" t="s">
        <v>64</v>
      </c>
      <c r="C20" s="68" t="s">
        <v>104</v>
      </c>
      <c r="D20" s="127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8"/>
      <c r="V20" s="68"/>
      <c r="W20" s="108"/>
      <c r="X20" s="69" t="s">
        <v>35</v>
      </c>
    </row>
    <row r="21" spans="1:24" ht="15">
      <c r="A21" s="5"/>
      <c r="B21" s="107" t="s">
        <v>58</v>
      </c>
      <c r="C21" s="68" t="s">
        <v>102</v>
      </c>
      <c r="D21" s="123"/>
      <c r="E21" s="78">
        <v>0.80</v>
      </c>
      <c r="F21" s="124"/>
      <c r="G21" s="78">
        <v>0.80</v>
      </c>
      <c r="H21" s="78">
        <v>0.80</v>
      </c>
      <c r="I21" s="78">
        <v>0.80</v>
      </c>
      <c r="J21" s="78">
        <v>0.80</v>
      </c>
      <c r="K21" s="124"/>
      <c r="L21" s="78">
        <v>0.80</v>
      </c>
      <c r="M21" s="78">
        <v>0.80</v>
      </c>
      <c r="N21" s="124"/>
      <c r="O21" s="78">
        <v>0.80</v>
      </c>
      <c r="P21" s="124"/>
      <c r="Q21" s="124"/>
      <c r="R21" s="157">
        <v>1</v>
      </c>
      <c r="S21" s="124"/>
      <c r="T21" s="124"/>
      <c r="U21" s="118">
        <v>0.05</v>
      </c>
      <c r="V21" s="68"/>
      <c r="W21" s="108"/>
      <c r="X21" s="69" t="s">
        <v>105</v>
      </c>
    </row>
    <row r="22" spans="1:24" ht="15">
      <c r="A22" s="5"/>
      <c r="B22" s="107" t="s">
        <v>58</v>
      </c>
      <c r="C22" s="57" t="s">
        <v>103</v>
      </c>
      <c r="D22" s="123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58"/>
      <c r="S22" s="124"/>
      <c r="T22" s="124"/>
      <c r="U22" s="118">
        <v>0.90</v>
      </c>
      <c r="V22" s="57"/>
      <c r="W22" s="108"/>
      <c r="X22" s="70" t="s">
        <v>106</v>
      </c>
    </row>
    <row r="23" spans="1:24" ht="15">
      <c r="A23" s="5"/>
      <c r="B23" s="107" t="s">
        <v>58</v>
      </c>
      <c r="C23" s="59" t="s">
        <v>104</v>
      </c>
      <c r="D23" s="125">
        <f>1-D21-D22</f>
        <v>1</v>
      </c>
      <c r="E23" s="126">
        <f>1-E21-E22</f>
        <v>0.19999999999999996</v>
      </c>
      <c r="F23" s="121"/>
      <c r="G23" s="126">
        <f>1-G21-G22</f>
        <v>0.19999999999999996</v>
      </c>
      <c r="H23" s="126">
        <f>1-H21-H22</f>
        <v>0.19999999999999996</v>
      </c>
      <c r="I23" s="126">
        <f>1-I21-I22</f>
        <v>0.19999999999999996</v>
      </c>
      <c r="J23" s="126">
        <f>1-J21-J22</f>
        <v>0.19999999999999996</v>
      </c>
      <c r="K23" s="121"/>
      <c r="L23" s="126">
        <f>1-L21-L22</f>
        <v>0.19999999999999996</v>
      </c>
      <c r="M23" s="126">
        <f>1-M21-M22</f>
        <v>0.19999999999999996</v>
      </c>
      <c r="N23" s="121"/>
      <c r="O23" s="126">
        <f>1-O21-O22</f>
        <v>0.19999999999999996</v>
      </c>
      <c r="P23" s="121"/>
      <c r="Q23" s="121"/>
      <c r="R23" s="159">
        <v>0</v>
      </c>
      <c r="S23" s="121"/>
      <c r="T23" s="121"/>
      <c r="U23" s="139">
        <f>1-U21-U22</f>
        <v>0.049999999999999933</v>
      </c>
      <c r="V23" s="59"/>
      <c r="W23" s="108"/>
      <c r="X23" s="71" t="s">
        <v>69</v>
      </c>
    </row>
    <row r="24" spans="1:24" ht="15">
      <c r="A24" s="5"/>
      <c r="B24" s="107" t="s">
        <v>60</v>
      </c>
      <c r="C24" s="68" t="s">
        <v>102</v>
      </c>
      <c r="D24" s="123"/>
      <c r="E24" s="78">
        <v>0.90</v>
      </c>
      <c r="F24" s="124"/>
      <c r="G24" s="78">
        <v>0.90</v>
      </c>
      <c r="H24" s="78">
        <v>0.90</v>
      </c>
      <c r="I24" s="78">
        <v>0.90</v>
      </c>
      <c r="J24" s="78">
        <v>0.90</v>
      </c>
      <c r="K24" s="124"/>
      <c r="L24" s="78">
        <v>0.90</v>
      </c>
      <c r="M24" s="78">
        <v>0.90</v>
      </c>
      <c r="N24" s="124"/>
      <c r="O24" s="78">
        <v>0.90</v>
      </c>
      <c r="P24" s="124"/>
      <c r="Q24" s="124"/>
      <c r="R24" s="157">
        <v>1</v>
      </c>
      <c r="S24" s="124"/>
      <c r="T24" s="124"/>
      <c r="U24" s="118">
        <v>0.01</v>
      </c>
      <c r="V24" s="68"/>
      <c r="W24" s="108"/>
      <c r="X24" s="69" t="s">
        <v>105</v>
      </c>
    </row>
    <row r="25" spans="1:24" ht="15">
      <c r="A25" s="5"/>
      <c r="B25" s="107" t="s">
        <v>60</v>
      </c>
      <c r="C25" s="57" t="s">
        <v>103</v>
      </c>
      <c r="D25" s="123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24"/>
      <c r="Q25" s="124"/>
      <c r="R25" s="158"/>
      <c r="S25" s="124"/>
      <c r="T25" s="124"/>
      <c r="U25" s="118">
        <v>0.90</v>
      </c>
      <c r="V25" s="57"/>
      <c r="W25" s="108"/>
      <c r="X25" s="70" t="s">
        <v>106</v>
      </c>
    </row>
    <row r="26" spans="1:24" ht="15">
      <c r="A26" s="5"/>
      <c r="B26" s="107" t="s">
        <v>60</v>
      </c>
      <c r="C26" s="59" t="s">
        <v>104</v>
      </c>
      <c r="D26" s="125">
        <f>1-D24-D25</f>
        <v>1</v>
      </c>
      <c r="E26" s="126">
        <f>1-E24-E25</f>
        <v>0.099999999999999978</v>
      </c>
      <c r="F26" s="121"/>
      <c r="G26" s="126">
        <f>1-G24-G25</f>
        <v>0.099999999999999978</v>
      </c>
      <c r="H26" s="126">
        <f>1-H24-H25</f>
        <v>0.099999999999999978</v>
      </c>
      <c r="I26" s="126">
        <f>1-I24-I25</f>
        <v>0.099999999999999978</v>
      </c>
      <c r="J26" s="126">
        <f>1-J24-J25</f>
        <v>0.099999999999999978</v>
      </c>
      <c r="K26" s="121"/>
      <c r="L26" s="126">
        <f>1-L24-L25</f>
        <v>0.099999999999999978</v>
      </c>
      <c r="M26" s="126">
        <f>1-M24-M25</f>
        <v>0.099999999999999978</v>
      </c>
      <c r="N26" s="121"/>
      <c r="O26" s="126">
        <f>1-O24-O25</f>
        <v>0.099999999999999978</v>
      </c>
      <c r="P26" s="121"/>
      <c r="Q26" s="121"/>
      <c r="R26" s="159">
        <f>1-R24-R25</f>
        <v>0</v>
      </c>
      <c r="S26" s="121"/>
      <c r="T26" s="121"/>
      <c r="U26" s="139">
        <f>1-U24-U25</f>
        <v>0.089999999999999969</v>
      </c>
      <c r="V26" s="59"/>
      <c r="W26" s="108"/>
      <c r="X26" s="71" t="s">
        <v>69</v>
      </c>
    </row>
    <row r="27" spans="1:22" ht="12.75">
      <c r="A27" s="5"/>
      <c r="V27" s="7"/>
    </row>
    <row r="28" spans="1:22" ht="12.75">
      <c r="A28" s="5"/>
      <c r="V28" s="7"/>
    </row>
    <row r="29" spans="1:22" ht="12.75">
      <c r="A29" s="5"/>
      <c r="C29" s="75" t="s">
        <v>110</v>
      </c>
      <c r="D29" s="77" t="s">
        <v>111</v>
      </c>
      <c r="E29" s="76" t="s">
        <v>112</v>
      </c>
      <c r="V29" s="7"/>
    </row>
    <row r="30" spans="1:22" ht="12.75">
      <c r="A30" s="5"/>
      <c r="B30" s="27" t="s">
        <v>120</v>
      </c>
      <c r="C30" s="109" t="s">
        <v>113</v>
      </c>
      <c r="D30" s="109" t="s">
        <v>114</v>
      </c>
      <c r="E30" s="110" t="s">
        <v>112</v>
      </c>
      <c r="V30" s="7"/>
    </row>
    <row r="31" spans="1:22" ht="12.75">
      <c r="A31" s="5"/>
      <c r="B31" s="56" t="s">
        <v>64</v>
      </c>
      <c r="C31" s="111">
        <v>1</v>
      </c>
      <c r="D31" s="112"/>
      <c r="E31" s="113"/>
      <c r="V31" s="7"/>
    </row>
    <row r="32" spans="1:5" ht="12.75">
      <c r="A32" s="5"/>
      <c r="B32" s="56" t="s">
        <v>58</v>
      </c>
      <c r="C32" s="114">
        <v>1</v>
      </c>
      <c r="D32" s="73"/>
      <c r="E32" s="115"/>
    </row>
    <row r="33" spans="1:5" ht="12.75">
      <c r="A33" s="5"/>
      <c r="B33" s="56" t="s">
        <v>60</v>
      </c>
      <c r="C33" s="116">
        <v>1</v>
      </c>
      <c r="D33" s="74"/>
      <c r="E33" s="117"/>
    </row>
  </sheetData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J5"/>
  <sheetViews>
    <sheetView zoomScale="90" zoomScaleNormal="90" workbookViewId="0" topLeftCell="A1">
      <selection pane="topLeft" activeCell="E7" sqref="E7"/>
    </sheetView>
  </sheetViews>
  <sheetFormatPr defaultRowHeight="12.75"/>
  <cols>
    <col min="1" max="1" width="1.85714285714286" customWidth="1"/>
    <col min="2" max="2" width="7.71428571428571" customWidth="1"/>
    <col min="3" max="3" width="6.85714285714286" customWidth="1"/>
    <col min="4" max="4" width="5.42857142857143" customWidth="1"/>
  </cols>
  <sheetData>
    <row r="3" spans="2:2" ht="18">
      <c r="B3" s="90" t="s">
        <v>158</v>
      </c>
    </row>
    <row r="5" spans="5:10" ht="12.75">
      <c r="E5" s="91" t="s">
        <v>173</v>
      </c>
      <c r="F5" s="91"/>
      <c r="G5" s="91"/>
      <c r="H5" s="91"/>
      <c r="I5" s="91"/>
      <c r="J5" s="91"/>
    </row>
  </sheetData>
  <pageMargins left="0.7" right="0.7" top="0.75" bottom="0.75" header="0.3" footer="0.3"/>
  <pageSetup orientation="portrait" paperSize="9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41"/>
  <sheetViews>
    <sheetView workbookViewId="0" topLeftCell="A1">
      <selection pane="topLeft" activeCell="H26" sqref="H26"/>
    </sheetView>
  </sheetViews>
  <sheetFormatPr defaultRowHeight="12.75"/>
  <cols>
    <col min="1" max="1" width="3" customWidth="1"/>
    <col min="2" max="2" width="13.5714285714286" bestFit="1" customWidth="1"/>
    <col min="3" max="3" width="13.1428571428571" bestFit="1" customWidth="1"/>
    <col min="4" max="4" width="11.8571428571429" bestFit="1" customWidth="1"/>
    <col min="5" max="5" width="11.5714285714286" bestFit="1" customWidth="1"/>
    <col min="6" max="6" width="13" bestFit="1" customWidth="1"/>
    <col min="7" max="7" width="8.28571428571429" bestFit="1" customWidth="1"/>
    <col min="8" max="8" width="9" customWidth="1"/>
    <col min="9" max="9" width="2.14285714285714" bestFit="1" customWidth="1"/>
    <col min="10" max="10" width="12.4285714285714" customWidth="1"/>
    <col min="11" max="11" width="7.14285714285714" customWidth="1"/>
    <col min="12" max="12" width="14.5714285714286" bestFit="1" customWidth="1"/>
    <col min="13" max="13" width="63" customWidth="1"/>
    <col min="14" max="14" width="6.14285714285714" customWidth="1"/>
    <col min="15" max="15" width="10.4285714285714" bestFit="1" customWidth="1"/>
    <col min="16" max="16" width="12.8571428571429" bestFit="1" customWidth="1"/>
    <col min="17" max="17" width="14.1428571428571" bestFit="1" customWidth="1"/>
    <col min="18" max="18" width="8.14285714285714" customWidth="1"/>
  </cols>
  <sheetData>
    <row r="1" spans="2:8" ht="15">
      <c r="B1" s="11" t="s">
        <v>73</v>
      </c>
      <c r="C1" s="11" t="s">
        <v>74</v>
      </c>
      <c r="D1" s="11" t="s">
        <v>75</v>
      </c>
      <c r="E1" s="11" t="s">
        <v>117</v>
      </c>
      <c r="F1" s="11" t="s">
        <v>94</v>
      </c>
      <c r="G1" s="11" t="s">
        <v>99</v>
      </c>
      <c r="H1" s="46"/>
    </row>
    <row r="2" spans="2:18" ht="15.75">
      <c r="B2" s="13" t="str">
        <f>'EB2'!B8</f>
        <v>AGR</v>
      </c>
      <c r="C2" s="13" t="str">
        <f>'EB2'!C8</f>
        <v>Agriculture</v>
      </c>
      <c r="D2" s="13" t="s">
        <v>115</v>
      </c>
      <c r="E2" s="13" t="str">
        <f>'EB2'!Z2</f>
        <v>PJ</v>
      </c>
      <c r="F2" s="13" t="str">
        <f>'EB2'!Y2</f>
        <v>M€2005</v>
      </c>
      <c r="G2" s="13" t="s">
        <v>100</v>
      </c>
      <c r="H2" s="12"/>
      <c r="J2" s="160" t="s">
        <v>14</v>
      </c>
      <c r="K2" s="160"/>
      <c r="L2" s="161"/>
      <c r="M2" s="161"/>
      <c r="N2" s="161"/>
      <c r="O2" s="161"/>
      <c r="P2" s="161"/>
      <c r="Q2" s="161"/>
      <c r="R2" s="161"/>
    </row>
    <row r="3" spans="10:18" ht="12.75">
      <c r="J3" s="162" t="s">
        <v>7</v>
      </c>
      <c r="K3" s="163" t="s">
        <v>30</v>
      </c>
      <c r="L3" s="162" t="s">
        <v>0</v>
      </c>
      <c r="M3" s="162" t="s">
        <v>3</v>
      </c>
      <c r="N3" s="162" t="s">
        <v>4</v>
      </c>
      <c r="O3" s="162" t="s">
        <v>8</v>
      </c>
      <c r="P3" s="162" t="s">
        <v>9</v>
      </c>
      <c r="Q3" s="162" t="s">
        <v>10</v>
      </c>
      <c r="R3" s="162" t="s">
        <v>12</v>
      </c>
    </row>
    <row r="4" spans="2:18" s="5" customFormat="1" ht="24" thickBot="1">
      <c r="B4" s="12"/>
      <c r="C4" s="12"/>
      <c r="D4" s="12"/>
      <c r="E4" s="12"/>
      <c r="G4" s="12"/>
      <c r="J4" s="164" t="s">
        <v>37</v>
      </c>
      <c r="K4" s="164" t="s">
        <v>31</v>
      </c>
      <c r="L4" s="164" t="s">
        <v>26</v>
      </c>
      <c r="M4" s="164" t="s">
        <v>27</v>
      </c>
      <c r="N4" s="164" t="s">
        <v>4</v>
      </c>
      <c r="O4" s="164" t="s">
        <v>40</v>
      </c>
      <c r="P4" s="164" t="s">
        <v>41</v>
      </c>
      <c r="Q4" s="164" t="s">
        <v>28</v>
      </c>
      <c r="R4" s="164" t="s">
        <v>29</v>
      </c>
    </row>
    <row r="5" spans="2:18" ht="12.75">
      <c r="B5" s="7"/>
      <c r="C5" s="7"/>
      <c r="D5" s="7"/>
      <c r="E5" s="15"/>
      <c r="F5" s="15"/>
      <c r="G5" s="89"/>
      <c r="H5" s="14"/>
      <c r="J5" s="165" t="s">
        <v>72</v>
      </c>
      <c r="K5" s="165"/>
      <c r="L5" s="165" t="str">
        <f>$B$2&amp;'EB2'!$D$2</f>
        <v>AGRCOA</v>
      </c>
      <c r="M5" s="166" t="str">
        <f>$C$2&amp;" "&amp;'EB2'!$D$3</f>
        <v>Agriculture Solid Fuels</v>
      </c>
      <c r="N5" s="165" t="str">
        <f>$E$2</f>
        <v>PJ</v>
      </c>
      <c r="O5" s="165"/>
      <c r="P5" s="165"/>
      <c r="Q5" s="165"/>
      <c r="R5" s="165"/>
    </row>
    <row r="6" spans="2:18" ht="12.75">
      <c r="B6" s="7"/>
      <c r="C6" s="7"/>
      <c r="D6" s="7"/>
      <c r="E6" s="15"/>
      <c r="F6" s="15"/>
      <c r="G6" s="89"/>
      <c r="H6" s="14"/>
      <c r="J6" s="165"/>
      <c r="K6" s="165"/>
      <c r="L6" s="165" t="str">
        <f>$B$2&amp;'EB2'!$E$2</f>
        <v>AGRGAS</v>
      </c>
      <c r="M6" s="166" t="str">
        <f>$C$2&amp;" "&amp;'EB2'!$E$3</f>
        <v>Agriculture Natural Gas</v>
      </c>
      <c r="N6" s="165" t="str">
        <f>$E$2</f>
        <v>PJ</v>
      </c>
      <c r="O6" s="165"/>
      <c r="P6" s="165"/>
      <c r="Q6" s="165"/>
      <c r="R6" s="165"/>
    </row>
    <row r="7" spans="2:18" ht="12.75">
      <c r="B7" s="7"/>
      <c r="C7" s="7"/>
      <c r="D7" s="7"/>
      <c r="E7" s="15"/>
      <c r="F7" s="15"/>
      <c r="G7" s="89"/>
      <c r="H7" s="14"/>
      <c r="J7" s="165"/>
      <c r="K7" s="165"/>
      <c r="L7" s="165" t="str">
        <f>$B$2&amp;'EB2'!$F$2</f>
        <v>AGROIL</v>
      </c>
      <c r="M7" s="166" t="str">
        <f>$C$2&amp;" "&amp;RIGHT('EB2'!$F$3,3)</f>
        <v>Agriculture oil</v>
      </c>
      <c r="N7" s="165" t="str">
        <f>$E$2</f>
        <v>PJ</v>
      </c>
      <c r="O7" s="165"/>
      <c r="P7" s="165"/>
      <c r="Q7" s="165"/>
      <c r="R7" s="165"/>
    </row>
    <row r="8" spans="2:18" ht="12.75">
      <c r="B8" s="7"/>
      <c r="C8" s="7"/>
      <c r="D8" s="7"/>
      <c r="E8" s="15"/>
      <c r="F8" s="15"/>
      <c r="G8" s="89"/>
      <c r="H8" s="14"/>
      <c r="J8" s="165"/>
      <c r="K8" s="165"/>
      <c r="L8" s="165" t="str">
        <f>$B$2&amp;'EB2'!$O$2</f>
        <v>AGRBIO</v>
      </c>
      <c r="M8" s="166" t="str">
        <f>$C$2&amp;" "&amp;'EB2'!$O$3</f>
        <v>Agriculture Biomass</v>
      </c>
      <c r="N8" s="165" t="str">
        <f>$E$2</f>
        <v>PJ</v>
      </c>
      <c r="O8" s="165"/>
      <c r="P8" s="165"/>
      <c r="Q8" s="165"/>
      <c r="R8" s="165"/>
    </row>
    <row r="9" spans="2:18" ht="12.75">
      <c r="B9" s="7"/>
      <c r="C9" s="7"/>
      <c r="D9" s="7"/>
      <c r="E9" s="15"/>
      <c r="F9" s="15"/>
      <c r="G9" s="89"/>
      <c r="H9" s="14"/>
      <c r="J9" s="165"/>
      <c r="K9" s="165"/>
      <c r="L9" s="165" t="str">
        <f>$B$2&amp;'EB2'!$U$2</f>
        <v>AGRELC</v>
      </c>
      <c r="M9" s="166" t="str">
        <f>$C$2&amp;" "&amp;'EB2'!$U$3</f>
        <v>Agriculture Electricity</v>
      </c>
      <c r="N9" s="165" t="str">
        <f>$E$2</f>
        <v>PJ</v>
      </c>
      <c r="O9" s="165"/>
      <c r="P9" s="165" t="s">
        <v>130</v>
      </c>
      <c r="Q9" s="165"/>
      <c r="R9" s="165" t="s">
        <v>50</v>
      </c>
    </row>
    <row r="10" spans="2:18" ht="12.75">
      <c r="B10" s="7"/>
      <c r="C10" s="7"/>
      <c r="D10" s="7"/>
      <c r="E10" s="15"/>
      <c r="F10" s="15"/>
      <c r="G10" s="89"/>
      <c r="H10" s="14"/>
      <c r="J10" s="5"/>
      <c r="K10" s="5"/>
      <c r="L10" s="5"/>
      <c r="M10" s="26"/>
      <c r="N10" s="5"/>
      <c r="O10" s="5"/>
      <c r="P10" s="5"/>
      <c r="Q10" s="5"/>
      <c r="R10" s="5"/>
    </row>
    <row r="11" spans="12:13" ht="12.75">
      <c r="L11" s="36"/>
      <c r="M11" s="38"/>
    </row>
    <row r="12" spans="4:18" ht="12.75">
      <c r="D12" s="4" t="s">
        <v>13</v>
      </c>
      <c r="E12" s="4"/>
      <c r="F12" s="4"/>
      <c r="J12" s="160" t="s">
        <v>15</v>
      </c>
      <c r="K12" s="160"/>
      <c r="L12" s="167"/>
      <c r="M12" s="167"/>
      <c r="N12" s="167"/>
      <c r="O12" s="167"/>
      <c r="P12" s="167"/>
      <c r="Q12" s="167"/>
      <c r="R12" s="167"/>
    </row>
    <row r="13" spans="2:18" ht="12.75">
      <c r="B13" s="22" t="s">
        <v>1</v>
      </c>
      <c r="C13" s="22" t="s">
        <v>5</v>
      </c>
      <c r="D13" s="22" t="s">
        <v>6</v>
      </c>
      <c r="E13" s="95" t="s">
        <v>152</v>
      </c>
      <c r="F13" s="92" t="s">
        <v>132</v>
      </c>
      <c r="G13" s="92" t="s">
        <v>84</v>
      </c>
      <c r="H13" s="92" t="s">
        <v>79</v>
      </c>
      <c r="J13" s="162" t="s">
        <v>11</v>
      </c>
      <c r="K13" s="163" t="s">
        <v>30</v>
      </c>
      <c r="L13" s="162" t="s">
        <v>1</v>
      </c>
      <c r="M13" s="162" t="s">
        <v>2</v>
      </c>
      <c r="N13" s="162" t="s">
        <v>16</v>
      </c>
      <c r="O13" s="162" t="s">
        <v>17</v>
      </c>
      <c r="P13" s="162" t="s">
        <v>18</v>
      </c>
      <c r="Q13" s="162" t="s">
        <v>19</v>
      </c>
      <c r="R13" s="162" t="s">
        <v>20</v>
      </c>
    </row>
    <row r="14" spans="2:18" ht="23.25" thickBot="1">
      <c r="B14" s="20" t="s">
        <v>39</v>
      </c>
      <c r="C14" s="20" t="s">
        <v>32</v>
      </c>
      <c r="D14" s="20" t="s">
        <v>33</v>
      </c>
      <c r="E14" s="20" t="s">
        <v>151</v>
      </c>
      <c r="F14" s="20" t="s">
        <v>34</v>
      </c>
      <c r="G14" s="20" t="s">
        <v>89</v>
      </c>
      <c r="H14" s="20" t="s">
        <v>174</v>
      </c>
      <c r="J14" s="164" t="s">
        <v>38</v>
      </c>
      <c r="K14" s="164" t="s">
        <v>31</v>
      </c>
      <c r="L14" s="164" t="s">
        <v>21</v>
      </c>
      <c r="M14" s="164" t="s">
        <v>22</v>
      </c>
      <c r="N14" s="164" t="s">
        <v>23</v>
      </c>
      <c r="O14" s="164" t="s">
        <v>24</v>
      </c>
      <c r="P14" s="164" t="s">
        <v>43</v>
      </c>
      <c r="Q14" s="164" t="s">
        <v>42</v>
      </c>
      <c r="R14" s="164" t="s">
        <v>25</v>
      </c>
    </row>
    <row r="15" spans="2:18" ht="13.5" thickBot="1">
      <c r="B15" s="19" t="s">
        <v>90</v>
      </c>
      <c r="C15" s="19"/>
      <c r="D15" s="19"/>
      <c r="E15" s="17"/>
      <c r="F15" s="17" t="str">
        <f>E2&amp;"a"</f>
        <v>PJa</v>
      </c>
      <c r="G15" s="17"/>
      <c r="H15" s="17" t="s">
        <v>91</v>
      </c>
      <c r="J15" s="164" t="s">
        <v>81</v>
      </c>
      <c r="K15" s="168"/>
      <c r="L15" s="168"/>
      <c r="M15" s="168"/>
      <c r="N15" s="168"/>
      <c r="O15" s="168"/>
      <c r="P15" s="168"/>
      <c r="Q15" s="168"/>
      <c r="R15" s="168"/>
    </row>
    <row r="16" spans="2:18" ht="12.75">
      <c r="B16" t="str">
        <f>L16</f>
        <v>FTE-AGRCOA</v>
      </c>
      <c r="C16" t="str">
        <f>RIGHT(D16,3)</f>
        <v>COA</v>
      </c>
      <c r="D16" t="str">
        <f>L5</f>
        <v>AGRCOA</v>
      </c>
      <c r="E16" s="15"/>
      <c r="G16" s="83">
        <v>1</v>
      </c>
      <c r="H16" s="84">
        <v>30</v>
      </c>
      <c r="J16" s="169" t="s">
        <v>116</v>
      </c>
      <c r="K16" s="165"/>
      <c r="L16" s="165" t="str">
        <f>"FT"&amp;$G$2&amp;"-"&amp;L5</f>
        <v>FTE-AGRCOA</v>
      </c>
      <c r="M16" s="166" t="str">
        <f>$D$2&amp;" Technology"&amp;" "&amp;$G$1&amp;" "&amp;M5</f>
        <v>Sector Fuel Technology Existing Agriculture Solid Fuels</v>
      </c>
      <c r="N16" s="165" t="str">
        <f>$E$2</f>
        <v>PJ</v>
      </c>
      <c r="O16" s="165" t="str">
        <f>$E$2&amp;"a"</f>
        <v>PJa</v>
      </c>
      <c r="P16" s="165"/>
      <c r="Q16" s="165"/>
      <c r="R16" s="165"/>
    </row>
    <row r="17" spans="2:18" ht="12.75">
      <c r="B17" t="str">
        <f>L17</f>
        <v>FTE-AGRGAS</v>
      </c>
      <c r="C17" t="str">
        <f>RIGHT(D17,3)</f>
        <v>GAS</v>
      </c>
      <c r="D17" t="str">
        <f>L6</f>
        <v>AGRGAS</v>
      </c>
      <c r="E17" s="15"/>
      <c r="G17" s="83">
        <v>1</v>
      </c>
      <c r="H17" s="84">
        <v>30</v>
      </c>
      <c r="J17" s="165"/>
      <c r="K17" s="165"/>
      <c r="L17" s="165" t="str">
        <f>"FT"&amp;$G$2&amp;"-"&amp;L6</f>
        <v>FTE-AGRGAS</v>
      </c>
      <c r="M17" s="166" t="str">
        <f>$D$2&amp;" Technology"&amp;" "&amp;$G$1&amp;" "&amp;M6</f>
        <v>Sector Fuel Technology Existing Agriculture Natural Gas</v>
      </c>
      <c r="N17" s="165" t="str">
        <f>$E$2</f>
        <v>PJ</v>
      </c>
      <c r="O17" s="165" t="str">
        <f>$E$2&amp;"a"</f>
        <v>PJa</v>
      </c>
      <c r="P17" s="165"/>
      <c r="Q17" s="165"/>
      <c r="R17" s="165"/>
    </row>
    <row r="18" spans="2:18" ht="12.75">
      <c r="B18" t="str">
        <f>L18</f>
        <v>FTE-AGROIL</v>
      </c>
      <c r="C18" t="str">
        <f>'EB2'!$G$2</f>
        <v>DSL</v>
      </c>
      <c r="D18" t="str">
        <f>L7</f>
        <v>AGROIL</v>
      </c>
      <c r="E18" s="15"/>
      <c r="G18" s="83">
        <v>1</v>
      </c>
      <c r="H18" s="84">
        <v>30</v>
      </c>
      <c r="J18" s="165"/>
      <c r="K18" s="165"/>
      <c r="L18" s="165" t="str">
        <f>"FT"&amp;$G$2&amp;"-"&amp;L7</f>
        <v>FTE-AGROIL</v>
      </c>
      <c r="M18" s="166" t="str">
        <f>$D$2&amp;" Technology"&amp;" "&amp;$G$1&amp;" "&amp;M7</f>
        <v>Sector Fuel Technology Existing Agriculture oil</v>
      </c>
      <c r="N18" s="165" t="str">
        <f>$E$2</f>
        <v>PJ</v>
      </c>
      <c r="O18" s="165" t="str">
        <f>$E$2&amp;"a"</f>
        <v>PJa</v>
      </c>
      <c r="P18" s="165"/>
      <c r="Q18" s="165"/>
      <c r="R18" s="165"/>
    </row>
    <row r="19" spans="3:18" ht="12.75">
      <c r="C19" t="str">
        <f>'EB2'!$H$2</f>
        <v>KER</v>
      </c>
      <c r="E19" s="15"/>
      <c r="G19" s="89"/>
      <c r="H19" s="14"/>
      <c r="J19" s="165"/>
      <c r="K19" s="165"/>
      <c r="L19" s="165" t="str">
        <f>"FT"&amp;$G$2&amp;"-"&amp;L8</f>
        <v>FTE-AGRBIO</v>
      </c>
      <c r="M19" s="166" t="str">
        <f>$D$2&amp;" Technology"&amp;" "&amp;$G$1&amp;" "&amp;M8</f>
        <v>Sector Fuel Technology Existing Agriculture Biomass</v>
      </c>
      <c r="N19" s="165" t="str">
        <f>$E$2</f>
        <v>PJ</v>
      </c>
      <c r="O19" s="165" t="str">
        <f>$E$2&amp;"a"</f>
        <v>PJa</v>
      </c>
      <c r="P19" s="165"/>
      <c r="Q19" s="165"/>
      <c r="R19" s="165"/>
    </row>
    <row r="20" spans="3:18" ht="12.75">
      <c r="C20" t="str">
        <f>'EB2'!$I$2</f>
        <v>LPG</v>
      </c>
      <c r="E20" s="15"/>
      <c r="G20" s="89"/>
      <c r="H20" s="14"/>
      <c r="J20" s="165"/>
      <c r="K20" s="165"/>
      <c r="L20" s="165" t="str">
        <f>"FT"&amp;$G$2&amp;"-"&amp;L9</f>
        <v>FTE-AGRELC</v>
      </c>
      <c r="M20" s="166" t="str">
        <f>$D$2&amp;" Technology"&amp;" "&amp;$G$1&amp;" "&amp;M9</f>
        <v>Sector Fuel Technology Existing Agriculture Electricity</v>
      </c>
      <c r="N20" s="165" t="str">
        <f>$E$2</f>
        <v>PJ</v>
      </c>
      <c r="O20" s="165" t="str">
        <f>$E$2&amp;"a"</f>
        <v>PJa</v>
      </c>
      <c r="P20" s="165" t="s">
        <v>130</v>
      </c>
      <c r="Q20" s="165"/>
      <c r="R20" s="165"/>
    </row>
    <row r="21" spans="3:18" ht="12.75">
      <c r="C21" t="str">
        <f>'EB2'!$J$2</f>
        <v>GSL</v>
      </c>
      <c r="E21" s="15"/>
      <c r="G21" s="89"/>
      <c r="H21" s="14"/>
      <c r="J21" s="5"/>
      <c r="K21" s="5"/>
      <c r="L21" s="5"/>
      <c r="M21" s="26"/>
      <c r="N21" s="5"/>
      <c r="O21" s="5"/>
      <c r="P21" s="5"/>
      <c r="Q21" s="5"/>
      <c r="R21" s="5"/>
    </row>
    <row r="22" spans="3:18" ht="12.75">
      <c r="C22" t="str">
        <f>'EB2'!$L$2</f>
        <v>HFO</v>
      </c>
      <c r="E22" s="15"/>
      <c r="G22" s="89"/>
      <c r="H22" s="14"/>
      <c r="J22" s="5"/>
      <c r="K22" s="5"/>
      <c r="L22" s="5"/>
      <c r="M22" s="26"/>
      <c r="N22" s="5"/>
      <c r="O22" s="5"/>
      <c r="P22" s="5"/>
      <c r="Q22" s="5"/>
      <c r="R22" s="5"/>
    </row>
    <row r="23" spans="3:18" ht="12.75">
      <c r="C23" t="str">
        <f>'EB2'!$M$2</f>
        <v>OPP</v>
      </c>
      <c r="E23" s="15"/>
      <c r="G23" s="89"/>
      <c r="H23" s="14"/>
      <c r="J23" s="5"/>
      <c r="K23" s="5"/>
      <c r="L23" s="5"/>
      <c r="M23" s="26"/>
      <c r="N23" s="5"/>
      <c r="O23" s="5"/>
      <c r="P23" s="5"/>
      <c r="Q23" s="5"/>
      <c r="R23" s="5"/>
    </row>
    <row r="24" spans="2:18" ht="12.75">
      <c r="B24" t="str">
        <f>L19</f>
        <v>FTE-AGRBIO</v>
      </c>
      <c r="C24" t="str">
        <f>RIGHT(D24,3)</f>
        <v>BIO</v>
      </c>
      <c r="D24" t="str">
        <f>L8</f>
        <v>AGRBIO</v>
      </c>
      <c r="E24" s="15"/>
      <c r="G24" s="83">
        <v>1</v>
      </c>
      <c r="H24" s="84">
        <v>30</v>
      </c>
      <c r="J24" s="34"/>
      <c r="K24" s="33"/>
      <c r="L24" s="5"/>
      <c r="M24" s="26"/>
      <c r="N24" s="5"/>
      <c r="O24" s="5"/>
      <c r="P24" s="5"/>
      <c r="Q24" s="5"/>
      <c r="R24" s="5"/>
    </row>
    <row r="25" spans="2:18" ht="12.75">
      <c r="B25" t="str">
        <f>L20</f>
        <v>FTE-AGRELC</v>
      </c>
      <c r="C25" t="str">
        <f>RIGHT(D25,3)</f>
        <v>ELC</v>
      </c>
      <c r="D25" t="str">
        <f>L9</f>
        <v>AGRELC</v>
      </c>
      <c r="E25" s="15"/>
      <c r="G25" s="83">
        <v>1</v>
      </c>
      <c r="H25" s="84">
        <v>30</v>
      </c>
      <c r="J25" s="33"/>
      <c r="K25" s="33"/>
      <c r="L25" s="5"/>
      <c r="M25" s="26"/>
      <c r="N25" s="5"/>
      <c r="O25" s="5"/>
      <c r="P25" s="5"/>
      <c r="Q25" s="5"/>
      <c r="R25" s="5"/>
    </row>
    <row r="26" spans="2:18" ht="12.75">
      <c r="B26" s="5"/>
      <c r="C26" s="5"/>
      <c r="D26" s="5"/>
      <c r="E26" s="15"/>
      <c r="G26" s="89"/>
      <c r="H26" s="14"/>
      <c r="J26" s="39"/>
      <c r="K26" s="37"/>
      <c r="L26" s="5"/>
      <c r="M26" s="26"/>
      <c r="N26" s="5"/>
      <c r="O26" s="5"/>
      <c r="P26" s="5"/>
      <c r="Q26" s="5"/>
      <c r="R26" s="5"/>
    </row>
    <row r="27" spans="2:18" ht="12.75">
      <c r="B27" s="5"/>
      <c r="C27" s="5"/>
      <c r="D27" s="5"/>
      <c r="E27" s="15"/>
      <c r="F27" s="15"/>
      <c r="G27" s="89"/>
      <c r="H27" s="14"/>
      <c r="J27" s="40"/>
      <c r="K27" s="40"/>
      <c r="L27" s="5"/>
      <c r="M27" s="26"/>
      <c r="N27" s="5"/>
      <c r="O27" s="5"/>
      <c r="P27" s="40"/>
      <c r="Q27" s="40"/>
      <c r="R27" s="5"/>
    </row>
    <row r="28" spans="2:18" ht="12.75">
      <c r="B28" s="40"/>
      <c r="C28" s="40"/>
      <c r="D28" s="40"/>
      <c r="E28" s="15"/>
      <c r="F28" s="15"/>
      <c r="G28" s="89"/>
      <c r="H28" s="14"/>
      <c r="J28" s="5"/>
      <c r="K28" s="5"/>
      <c r="L28" s="5"/>
      <c r="M28" s="5"/>
      <c r="N28" s="5"/>
      <c r="O28" s="5"/>
      <c r="P28" s="5"/>
      <c r="Q28" s="5"/>
      <c r="R28" s="5"/>
    </row>
    <row r="29" spans="2:8" ht="12.75">
      <c r="B29" s="35"/>
      <c r="C29" s="5"/>
      <c r="D29" s="35"/>
      <c r="E29" s="15"/>
      <c r="F29" s="15"/>
      <c r="G29" s="89"/>
      <c r="H29" s="14"/>
    </row>
    <row r="30" spans="2:8" ht="12.75">
      <c r="B30" s="35"/>
      <c r="C30" s="5"/>
      <c r="D30" s="35"/>
      <c r="E30" s="15"/>
      <c r="F30" s="15"/>
      <c r="G30" s="89"/>
      <c r="H30" s="14"/>
    </row>
    <row r="31" spans="2:8" ht="12.75">
      <c r="B31" s="35"/>
      <c r="C31" s="5"/>
      <c r="D31" s="35"/>
      <c r="E31" s="120"/>
      <c r="F31" s="15"/>
      <c r="G31" s="89"/>
      <c r="H31" s="14"/>
    </row>
    <row r="32" spans="2:8" ht="12.75">
      <c r="B32" s="35"/>
      <c r="C32" s="5"/>
      <c r="D32" s="35"/>
      <c r="E32" s="120"/>
      <c r="F32" s="15"/>
      <c r="G32" s="89"/>
      <c r="H32" s="14"/>
    </row>
    <row r="33" spans="2:8" ht="12.75">
      <c r="B33" s="35"/>
      <c r="C33" s="5"/>
      <c r="D33" s="35"/>
      <c r="E33" s="120"/>
      <c r="F33" s="15"/>
      <c r="G33" s="89"/>
      <c r="H33" s="14"/>
    </row>
    <row r="34" spans="2:8" ht="12.75">
      <c r="B34" s="35"/>
      <c r="C34" s="5"/>
      <c r="D34" s="35"/>
      <c r="E34" s="120"/>
      <c r="F34" s="15"/>
      <c r="G34" s="89"/>
      <c r="H34" s="14"/>
    </row>
    <row r="35" spans="2:8" ht="12.75">
      <c r="B35" s="36"/>
      <c r="C35" s="5"/>
      <c r="D35" s="35"/>
      <c r="E35" s="15"/>
      <c r="F35" s="15"/>
      <c r="G35" s="89"/>
      <c r="H35" s="14"/>
    </row>
    <row r="36" spans="2:8" ht="12.75">
      <c r="B36" s="36"/>
      <c r="C36" s="5"/>
      <c r="D36" s="35"/>
      <c r="E36" s="15"/>
      <c r="F36" s="15"/>
      <c r="G36" s="89"/>
      <c r="H36" s="14"/>
    </row>
    <row r="40" spans="2:3" ht="12.75">
      <c r="B40" s="58"/>
      <c r="C40" s="1" t="s">
        <v>156</v>
      </c>
    </row>
    <row r="41" spans="2:3" ht="12.75">
      <c r="B41" s="81"/>
      <c r="C41" s="1" t="s">
        <v>157</v>
      </c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29"/>
  <sheetViews>
    <sheetView workbookViewId="0" topLeftCell="A1">
      <selection pane="topLeft" activeCell="O7" sqref="O7"/>
    </sheetView>
  </sheetViews>
  <sheetFormatPr defaultRowHeight="12.75"/>
  <cols>
    <col min="1" max="1" width="3" customWidth="1"/>
    <col min="2" max="2" width="12.1428571428571" bestFit="1" customWidth="1"/>
    <col min="3" max="3" width="26" bestFit="1" customWidth="1"/>
    <col min="4" max="4" width="13.8571428571429" bestFit="1" customWidth="1"/>
    <col min="5" max="5" width="12.2857142857143" bestFit="1" customWidth="1"/>
    <col min="6" max="6" width="12.4285714285714" bestFit="1" customWidth="1"/>
    <col min="7" max="7" width="16.1428571428571" bestFit="1" customWidth="1"/>
    <col min="8" max="8" width="13.1428571428571" bestFit="1" customWidth="1"/>
    <col min="9" max="9" width="12.2857142857143" bestFit="1" customWidth="1"/>
    <col min="10" max="10" width="8.14285714285714" customWidth="1"/>
    <col min="11" max="11" width="2" customWidth="1"/>
    <col min="12" max="12" width="12.7142857142857" bestFit="1" customWidth="1"/>
    <col min="13" max="13" width="7.14285714285714" customWidth="1"/>
    <col min="14" max="14" width="16.1428571428571" bestFit="1" customWidth="1"/>
    <col min="15" max="15" width="77.5714285714286" bestFit="1" customWidth="1"/>
    <col min="16" max="16" width="5.71428571428571" customWidth="1"/>
    <col min="17" max="17" width="11.7142857142857" customWidth="1"/>
    <col min="18" max="18" width="13.4285714285714" customWidth="1"/>
    <col min="19" max="19" width="13.8571428571429" customWidth="1"/>
    <col min="20" max="20" width="8.42857142857143" customWidth="1"/>
  </cols>
  <sheetData>
    <row r="1" spans="2:10" ht="15">
      <c r="B1" s="11" t="s">
        <v>73</v>
      </c>
      <c r="C1" s="11" t="s">
        <v>75</v>
      </c>
      <c r="D1" s="11" t="s">
        <v>118</v>
      </c>
      <c r="E1" s="30" t="s">
        <v>23</v>
      </c>
      <c r="F1" s="30" t="s">
        <v>121</v>
      </c>
      <c r="G1" s="30"/>
      <c r="H1" s="11" t="s">
        <v>78</v>
      </c>
      <c r="I1" s="46"/>
      <c r="J1" s="11" t="s">
        <v>99</v>
      </c>
    </row>
    <row r="2" spans="2:20" ht="31.5">
      <c r="B2" s="13" t="str">
        <f>'EB2'!B8</f>
        <v>AGR</v>
      </c>
      <c r="C2" s="13" t="str">
        <f>'EB2'!C8</f>
        <v>Agriculture</v>
      </c>
      <c r="D2" s="25" t="str">
        <f>"Demand Technologies"</f>
        <v>Demand Technologies</v>
      </c>
      <c r="E2" s="13" t="str">
        <f>'EB2'!Z2</f>
        <v>PJ</v>
      </c>
      <c r="F2" s="13" t="s">
        <v>146</v>
      </c>
      <c r="G2" s="13"/>
      <c r="H2" s="13" t="str">
        <f>'EB2'!Y2</f>
        <v>M€2005</v>
      </c>
      <c r="I2" s="12"/>
      <c r="J2" s="13" t="s">
        <v>100</v>
      </c>
      <c r="L2" s="160" t="s">
        <v>14</v>
      </c>
      <c r="M2" s="160"/>
      <c r="N2" s="161"/>
      <c r="O2" s="161"/>
      <c r="P2" s="161"/>
      <c r="Q2" s="161"/>
      <c r="R2" s="161"/>
      <c r="S2" s="161"/>
      <c r="T2" s="161"/>
    </row>
    <row r="3" spans="12:20" ht="12.75">
      <c r="L3" s="162" t="s">
        <v>7</v>
      </c>
      <c r="M3" s="163" t="s">
        <v>30</v>
      </c>
      <c r="N3" s="162" t="s">
        <v>0</v>
      </c>
      <c r="O3" s="162" t="s">
        <v>3</v>
      </c>
      <c r="P3" s="162" t="s">
        <v>4</v>
      </c>
      <c r="Q3" s="162" t="s">
        <v>8</v>
      </c>
      <c r="R3" s="162" t="s">
        <v>9</v>
      </c>
      <c r="S3" s="162" t="s">
        <v>10</v>
      </c>
      <c r="T3" s="162" t="s">
        <v>12</v>
      </c>
    </row>
    <row r="4" spans="2:20" s="5" customFormat="1" ht="24" thickBot="1">
      <c r="B4" s="12"/>
      <c r="C4" s="12"/>
      <c r="D4" s="12"/>
      <c r="E4" s="12"/>
      <c r="F4" s="12"/>
      <c r="G4" s="12"/>
      <c r="L4" s="164" t="s">
        <v>37</v>
      </c>
      <c r="M4" s="164" t="s">
        <v>31</v>
      </c>
      <c r="N4" s="164" t="s">
        <v>26</v>
      </c>
      <c r="O4" s="164" t="s">
        <v>27</v>
      </c>
      <c r="P4" s="164" t="s">
        <v>4</v>
      </c>
      <c r="Q4" s="164" t="s">
        <v>40</v>
      </c>
      <c r="R4" s="164" t="s">
        <v>41</v>
      </c>
      <c r="S4" s="164" t="s">
        <v>28</v>
      </c>
      <c r="T4" s="164" t="s">
        <v>29</v>
      </c>
    </row>
    <row r="5" spans="2:20" s="5" customFormat="1" ht="15.75">
      <c r="B5" s="12"/>
      <c r="C5" s="12"/>
      <c r="D5" s="12"/>
      <c r="E5" s="12"/>
      <c r="F5" s="12"/>
      <c r="G5" s="12"/>
      <c r="L5" s="169" t="s">
        <v>83</v>
      </c>
      <c r="M5" s="165"/>
      <c r="N5" s="169" t="str">
        <f>LEFT($L$5,1)&amp;LEFT($B$2,1)&amp;'EB2'!$C$20</f>
        <v>DAOT</v>
      </c>
      <c r="O5" s="169" t="str">
        <f>LEFT($D$2,6)&amp;" "&amp;$C$2&amp;" Sector - "&amp;'EB2'!$X$20</f>
        <v>Demand Agriculture Sector - Demand</v>
      </c>
      <c r="P5" s="169" t="str">
        <f>$E$2</f>
        <v>PJ</v>
      </c>
      <c r="Q5" s="169"/>
      <c r="R5" s="169"/>
      <c r="S5" s="169"/>
      <c r="T5" s="169"/>
    </row>
    <row r="6" spans="12:20" ht="12.75">
      <c r="L6" s="167" t="s">
        <v>109</v>
      </c>
      <c r="M6" s="167"/>
      <c r="N6" s="167" t="str">
        <f>$B$2&amp;'EB2'!$C$29</f>
        <v>AGRCO2</v>
      </c>
      <c r="O6" s="167" t="str">
        <f>$C$2&amp;" "&amp;'EB2'!$C$30</f>
        <v>Agriculture Carbon dioxide</v>
      </c>
      <c r="P6" s="167" t="str">
        <f>'EB2'!$AA$2</f>
        <v>kt</v>
      </c>
      <c r="Q6" s="167"/>
      <c r="R6" s="167"/>
      <c r="S6" s="167"/>
      <c r="T6" s="167"/>
    </row>
    <row r="7" spans="7:7" ht="15">
      <c r="G7" s="152" t="s">
        <v>163</v>
      </c>
    </row>
    <row r="8" spans="4:20" ht="15">
      <c r="D8" s="4" t="s">
        <v>13</v>
      </c>
      <c r="E8" s="4"/>
      <c r="G8" s="153">
        <v>0.20</v>
      </c>
      <c r="H8" s="4"/>
      <c r="I8" s="4"/>
      <c r="J8" s="18"/>
      <c r="L8" s="160" t="s">
        <v>15</v>
      </c>
      <c r="M8" s="160"/>
      <c r="N8" s="167"/>
      <c r="O8" s="167"/>
      <c r="P8" s="167"/>
      <c r="Q8" s="167"/>
      <c r="R8" s="167"/>
      <c r="S8" s="167"/>
      <c r="T8" s="167"/>
    </row>
    <row r="9" spans="2:20" ht="25.5">
      <c r="B9" s="22" t="s">
        <v>1</v>
      </c>
      <c r="C9" s="22" t="s">
        <v>5</v>
      </c>
      <c r="D9" s="22" t="s">
        <v>6</v>
      </c>
      <c r="E9" s="92" t="s">
        <v>132</v>
      </c>
      <c r="F9" s="95" t="s">
        <v>152</v>
      </c>
      <c r="G9" s="95" t="s">
        <v>164</v>
      </c>
      <c r="H9" s="92" t="s">
        <v>84</v>
      </c>
      <c r="I9" s="92" t="s">
        <v>97</v>
      </c>
      <c r="J9" s="92" t="s">
        <v>79</v>
      </c>
      <c r="L9" s="162" t="s">
        <v>11</v>
      </c>
      <c r="M9" s="163" t="s">
        <v>30</v>
      </c>
      <c r="N9" s="162" t="s">
        <v>1</v>
      </c>
      <c r="O9" s="162" t="s">
        <v>2</v>
      </c>
      <c r="P9" s="162" t="s">
        <v>16</v>
      </c>
      <c r="Q9" s="162" t="s">
        <v>17</v>
      </c>
      <c r="R9" s="162" t="s">
        <v>18</v>
      </c>
      <c r="S9" s="162" t="s">
        <v>19</v>
      </c>
      <c r="T9" s="162" t="s">
        <v>20</v>
      </c>
    </row>
    <row r="10" spans="2:20" ht="23.25" thickBot="1">
      <c r="B10" s="20" t="s">
        <v>39</v>
      </c>
      <c r="C10" s="20" t="s">
        <v>32</v>
      </c>
      <c r="D10" s="20" t="s">
        <v>33</v>
      </c>
      <c r="E10" s="20" t="s">
        <v>34</v>
      </c>
      <c r="F10" s="20" t="s">
        <v>151</v>
      </c>
      <c r="G10" s="150" t="s">
        <v>151</v>
      </c>
      <c r="H10" s="20" t="s">
        <v>89</v>
      </c>
      <c r="I10" s="106" t="s">
        <v>98</v>
      </c>
      <c r="J10" s="20" t="s">
        <v>92</v>
      </c>
      <c r="L10" s="164" t="s">
        <v>38</v>
      </c>
      <c r="M10" s="164" t="s">
        <v>31</v>
      </c>
      <c r="N10" s="164" t="s">
        <v>21</v>
      </c>
      <c r="O10" s="164" t="s">
        <v>22</v>
      </c>
      <c r="P10" s="164" t="s">
        <v>23</v>
      </c>
      <c r="Q10" s="164" t="s">
        <v>24</v>
      </c>
      <c r="R10" s="164" t="s">
        <v>43</v>
      </c>
      <c r="S10" s="164" t="s">
        <v>42</v>
      </c>
      <c r="T10" s="164" t="s">
        <v>25</v>
      </c>
    </row>
    <row r="11" spans="2:20" ht="13.5" thickBot="1">
      <c r="B11" s="19" t="s">
        <v>90</v>
      </c>
      <c r="C11" s="19"/>
      <c r="D11" s="19"/>
      <c r="E11" s="17" t="s">
        <v>122</v>
      </c>
      <c r="F11" s="17"/>
      <c r="G11" s="149"/>
      <c r="H11" s="17"/>
      <c r="I11" s="94"/>
      <c r="J11" s="17" t="s">
        <v>91</v>
      </c>
      <c r="L11" s="164" t="s">
        <v>81</v>
      </c>
      <c r="M11" s="164"/>
      <c r="N11" s="164"/>
      <c r="O11" s="164"/>
      <c r="P11" s="164"/>
      <c r="Q11" s="164"/>
      <c r="R11" s="164"/>
      <c r="S11" s="164"/>
      <c r="T11" s="164"/>
    </row>
    <row r="12" spans="2:20" ht="12.75">
      <c r="B12" t="str">
        <f>N12</f>
        <v>AOTETOT</v>
      </c>
      <c r="C12" t="str">
        <f>Sector_Fuels_AGR!L5</f>
        <v>AGRCOA</v>
      </c>
      <c r="D12" t="str">
        <f>$N$5</f>
        <v>DAOT</v>
      </c>
      <c r="E12" s="16"/>
      <c r="F12" s="146">
        <f>'EB2'!$D$6/('EB2'!$D$6+'EB2'!$E$6+SUM('EB2'!$G$6:$J$6,'EB2'!$L$6:$M$6)+'EB2'!$O$6+'EB2'!$U$6)</f>
        <v>0.007179568674540544</v>
      </c>
      <c r="G12" s="151">
        <f>IF(F12=0,20%,F12*(1+$G$8))</f>
        <v>0.0086154824094486528</v>
      </c>
      <c r="H12" s="85">
        <v>1</v>
      </c>
      <c r="I12" s="85">
        <v>1</v>
      </c>
      <c r="J12" s="58">
        <v>20</v>
      </c>
      <c r="L12" s="169" t="s">
        <v>96</v>
      </c>
      <c r="M12" s="165"/>
      <c r="N12" s="165" t="str">
        <f>LEFT($B$2)&amp;'EB2'!$C$20&amp;$J$2&amp;'EB2'!$V$2</f>
        <v>AOTETOT</v>
      </c>
      <c r="O12" s="170" t="str">
        <f>$D$2&amp;" "&amp;$C$2&amp;" Sector - "&amp;""&amp;$J$1&amp;" "&amp;'EB2'!$X$20&amp;" - "&amp;'EB2'!$V$2</f>
        <v>Demand Technologies Agriculture Sector - Existing Demand - TOT</v>
      </c>
      <c r="P12" s="165" t="str">
        <f>$E$2</f>
        <v>PJ</v>
      </c>
      <c r="Q12" s="165" t="str">
        <f>$E$2&amp;"a"</f>
        <v>PJa</v>
      </c>
      <c r="R12" s="165"/>
      <c r="S12" s="165"/>
      <c r="T12" s="165"/>
    </row>
    <row r="13" spans="3:20" ht="12.75">
      <c r="C13" t="str">
        <f>Sector_Fuels_AGR!L6</f>
        <v>AGRGAS</v>
      </c>
      <c r="E13" s="23"/>
      <c r="F13" s="146">
        <f>'EB2'!$E$6/('EB2'!$D$6+'EB2'!$E$6+SUM('EB2'!$G$6:$J$6,'EB2'!$L$6:$M$6)+'EB2'!$O$6+'EB2'!$U$6)</f>
        <v>0.37874393628467257</v>
      </c>
      <c r="G13" s="151">
        <f>IF(F13=0,20%,F13*(1+$G$8))</f>
        <v>0.45449272354160708</v>
      </c>
      <c r="H13" s="21"/>
      <c r="I13" s="21"/>
      <c r="L13" s="5"/>
      <c r="M13" s="5"/>
      <c r="N13" s="5"/>
      <c r="O13" s="99"/>
      <c r="P13" s="5"/>
      <c r="Q13" s="5"/>
      <c r="R13" s="5"/>
      <c r="S13" s="5"/>
      <c r="T13" s="5"/>
    </row>
    <row r="14" spans="3:20" ht="12.75">
      <c r="C14" t="str">
        <f>Sector_Fuels_AGR!L7</f>
        <v>AGROIL</v>
      </c>
      <c r="E14" s="9"/>
      <c r="F14" s="146">
        <f>SUM('EB2'!$G$6:$J$6,'EB2'!$L$6:$M$6)/('EB2'!$D$6+'EB2'!$E$6+SUM('EB2'!$G$6:$J$6,'EB2'!$L$6:$M$6)+'EB2'!$O$6+'EB2'!$U$6)</f>
        <v>0.15401636485812167</v>
      </c>
      <c r="G14" s="151">
        <f>IF(F14=0,20%,F14*(1+$G$8))</f>
        <v>0.184819637829746</v>
      </c>
      <c r="H14" s="21"/>
      <c r="I14" s="21"/>
      <c r="L14" s="5"/>
      <c r="M14" s="5"/>
      <c r="N14" s="5"/>
      <c r="O14" s="26"/>
      <c r="P14" s="5"/>
      <c r="Q14" s="5"/>
      <c r="R14" s="5"/>
      <c r="S14" s="5"/>
      <c r="T14" s="5"/>
    </row>
    <row r="15" spans="2:20" ht="12.75">
      <c r="B15" s="7"/>
      <c r="C15" t="str">
        <f>Sector_Fuels_AGR!L8</f>
        <v>AGRBIO</v>
      </c>
      <c r="D15" s="7"/>
      <c r="E15" s="23"/>
      <c r="F15" s="146">
        <f>'EB2'!$O$6/('EB2'!$D$6+'EB2'!$E$6+SUM('EB2'!$G$6:$J$6,'EB2'!$L$6:$M$6)+'EB2'!$O$6+'EB2'!$U$6)</f>
        <v>0.0046845795981693746</v>
      </c>
      <c r="G15" s="151">
        <f>IF(F15=0,20%,F15*(1+$G$8))</f>
        <v>0.0056214955178032497</v>
      </c>
      <c r="H15" s="24"/>
      <c r="I15" s="24"/>
      <c r="J15" s="7"/>
      <c r="L15" s="5"/>
      <c r="M15" s="5"/>
      <c r="N15" s="5"/>
      <c r="O15" s="26"/>
      <c r="P15" s="5"/>
      <c r="Q15" s="5"/>
      <c r="R15" s="5"/>
      <c r="S15" s="5"/>
      <c r="T15" s="5"/>
    </row>
    <row r="16" spans="2:20" ht="12.75">
      <c r="B16" s="7"/>
      <c r="C16" t="str">
        <f>Sector_Fuels_AGR!L9</f>
        <v>AGRELC</v>
      </c>
      <c r="E16" s="23"/>
      <c r="F16" s="146">
        <f>'EB2'!$U$6/('EB2'!$D$6+'EB2'!$E$6+SUM('EB2'!$G$6:$J$6,'EB2'!$L$6:$M$6)+'EB2'!$O$6+'EB2'!$U$6)</f>
        <v>0.45537555058449591</v>
      </c>
      <c r="G16" s="151">
        <f>IF(F16=0,20%,F16*(1+$G$8))</f>
        <v>0.54645066070139503</v>
      </c>
      <c r="H16" s="24"/>
      <c r="I16" s="24"/>
      <c r="J16" s="7"/>
      <c r="L16" s="5"/>
      <c r="M16" s="5"/>
      <c r="N16" s="5"/>
      <c r="O16" s="26"/>
      <c r="P16" s="5"/>
      <c r="Q16" s="5"/>
      <c r="R16" s="5"/>
      <c r="S16" s="5"/>
      <c r="T16" s="5"/>
    </row>
    <row r="17" spans="6:20" ht="12.75">
      <c r="F17" s="15"/>
      <c r="G17" s="15"/>
      <c r="L17" s="5"/>
      <c r="M17" s="5"/>
      <c r="N17" s="5"/>
      <c r="O17" s="5"/>
      <c r="P17" s="5"/>
      <c r="Q17" s="5"/>
      <c r="R17" s="5"/>
      <c r="S17" s="5"/>
      <c r="T17" s="5"/>
    </row>
    <row r="18" spans="6:20" ht="12.75">
      <c r="F18" s="15"/>
      <c r="G18" s="15"/>
      <c r="L18" s="5"/>
      <c r="M18" s="5"/>
      <c r="N18" s="5"/>
      <c r="O18" s="5"/>
      <c r="P18" s="5"/>
      <c r="Q18" s="5"/>
      <c r="R18" s="5"/>
      <c r="S18" s="5"/>
      <c r="T18" s="5"/>
    </row>
    <row r="19" spans="6:20" ht="12.75">
      <c r="F19" s="15"/>
      <c r="G19" s="15"/>
      <c r="L19" s="5"/>
      <c r="M19" s="5"/>
      <c r="N19" s="5"/>
      <c r="O19" s="5"/>
      <c r="P19" s="5"/>
      <c r="Q19" s="5"/>
      <c r="R19" s="5"/>
      <c r="S19" s="5"/>
      <c r="T19" s="5"/>
    </row>
    <row r="20" spans="12:20" ht="12.75">
      <c r="L20" s="5"/>
      <c r="M20" s="5"/>
      <c r="N20" s="5"/>
      <c r="O20" s="5"/>
      <c r="P20" s="5"/>
      <c r="Q20" s="5"/>
      <c r="R20" s="5"/>
      <c r="S20" s="5"/>
      <c r="T20" s="5"/>
    </row>
    <row r="21" spans="12:20" ht="12.75">
      <c r="L21" s="5"/>
      <c r="M21" s="5"/>
      <c r="N21" s="5"/>
      <c r="O21" s="5"/>
      <c r="P21" s="5"/>
      <c r="Q21" s="5"/>
      <c r="R21" s="5"/>
      <c r="S21" s="5"/>
      <c r="T21" s="5"/>
    </row>
    <row r="22" spans="6:20" ht="12.75">
      <c r="F22" s="15"/>
      <c r="G22" s="15"/>
      <c r="L22" s="5"/>
      <c r="M22" s="5"/>
      <c r="N22" s="5"/>
      <c r="O22" s="5"/>
      <c r="P22" s="5"/>
      <c r="Q22" s="5"/>
      <c r="R22" s="5"/>
      <c r="S22" s="5"/>
      <c r="T22" s="5"/>
    </row>
    <row r="23" spans="12:20" ht="12.75">
      <c r="L23" s="5"/>
      <c r="M23" s="5"/>
      <c r="N23" s="5"/>
      <c r="O23" s="5"/>
      <c r="P23" s="5"/>
      <c r="Q23" s="5"/>
      <c r="R23" s="5"/>
      <c r="S23" s="5"/>
      <c r="T23" s="5"/>
    </row>
    <row r="24" spans="2:3" ht="12.75">
      <c r="B24" s="58"/>
      <c r="C24" s="1" t="s">
        <v>156</v>
      </c>
    </row>
    <row r="25" spans="2:3" ht="12.75">
      <c r="B25" s="81"/>
      <c r="C25" s="1" t="s">
        <v>157</v>
      </c>
    </row>
    <row r="26" spans="11:11" ht="12.75">
      <c r="K26" s="1"/>
    </row>
    <row r="27" spans="11:11" ht="12.75">
      <c r="K27" s="1"/>
    </row>
    <row r="28" spans="11:11" ht="12.75">
      <c r="K28" s="1"/>
    </row>
    <row r="29" spans="11:11" ht="12.75">
      <c r="K29" s="1"/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42"/>
  <sheetViews>
    <sheetView workbookViewId="0" topLeftCell="A1">
      <selection pane="topLeft" activeCell="H27" sqref="H27"/>
    </sheetView>
  </sheetViews>
  <sheetFormatPr defaultRowHeight="12.75"/>
  <cols>
    <col min="1" max="1" width="3" customWidth="1"/>
    <col min="2" max="2" width="13.5714285714286" bestFit="1" customWidth="1"/>
    <col min="3" max="3" width="13.1428571428571" bestFit="1" customWidth="1"/>
    <col min="4" max="4" width="11.8571428571429" bestFit="1" customWidth="1"/>
    <col min="5" max="5" width="11.5714285714286" bestFit="1" customWidth="1"/>
    <col min="6" max="6" width="13" bestFit="1" customWidth="1"/>
    <col min="7" max="7" width="8.28571428571429" bestFit="1" customWidth="1"/>
    <col min="8" max="8" width="9" customWidth="1"/>
    <col min="9" max="9" width="2.14285714285714" bestFit="1" customWidth="1"/>
    <col min="10" max="10" width="12.4285714285714" customWidth="1"/>
    <col min="11" max="11" width="7.14285714285714" customWidth="1"/>
    <col min="12" max="12" width="14.5714285714286" bestFit="1" customWidth="1"/>
    <col min="13" max="13" width="63" customWidth="1"/>
    <col min="14" max="14" width="6.14285714285714" customWidth="1"/>
    <col min="15" max="15" width="10.4285714285714" bestFit="1" customWidth="1"/>
    <col min="16" max="16" width="12.8571428571429" bestFit="1" customWidth="1"/>
    <col min="17" max="17" width="14.1428571428571" bestFit="1" customWidth="1"/>
    <col min="18" max="18" width="8.14285714285714" customWidth="1"/>
  </cols>
  <sheetData>
    <row r="1" spans="2:8" ht="15">
      <c r="B1" s="11" t="s">
        <v>73</v>
      </c>
      <c r="C1" s="11" t="s">
        <v>74</v>
      </c>
      <c r="D1" s="11" t="s">
        <v>75</v>
      </c>
      <c r="E1" s="11" t="s">
        <v>117</v>
      </c>
      <c r="F1" s="11" t="s">
        <v>94</v>
      </c>
      <c r="G1" s="11" t="s">
        <v>99</v>
      </c>
      <c r="H1" s="46"/>
    </row>
    <row r="2" spans="2:18" ht="15.75">
      <c r="B2" s="13" t="str">
        <f>'EB2'!B6</f>
        <v>COM</v>
      </c>
      <c r="C2" s="13" t="str">
        <f>'EB2'!C6</f>
        <v>Commercial</v>
      </c>
      <c r="D2" s="13" t="s">
        <v>115</v>
      </c>
      <c r="E2" s="13" t="str">
        <f>'EB2'!Z2</f>
        <v>PJ</v>
      </c>
      <c r="F2" s="13" t="str">
        <f>'EB2'!Y2</f>
        <v>M€2005</v>
      </c>
      <c r="G2" s="13" t="s">
        <v>100</v>
      </c>
      <c r="H2" s="12"/>
      <c r="J2" s="160" t="s">
        <v>14</v>
      </c>
      <c r="K2" s="160"/>
      <c r="L2" s="161"/>
      <c r="M2" s="161"/>
      <c r="N2" s="161"/>
      <c r="O2" s="161"/>
      <c r="P2" s="161"/>
      <c r="Q2" s="161"/>
      <c r="R2" s="161"/>
    </row>
    <row r="3" spans="10:18" ht="12.75">
      <c r="J3" s="162" t="s">
        <v>7</v>
      </c>
      <c r="K3" s="163" t="s">
        <v>30</v>
      </c>
      <c r="L3" s="162" t="s">
        <v>0</v>
      </c>
      <c r="M3" s="162" t="s">
        <v>3</v>
      </c>
      <c r="N3" s="162" t="s">
        <v>4</v>
      </c>
      <c r="O3" s="162" t="s">
        <v>8</v>
      </c>
      <c r="P3" s="162" t="s">
        <v>9</v>
      </c>
      <c r="Q3" s="162" t="s">
        <v>10</v>
      </c>
      <c r="R3" s="162" t="s">
        <v>12</v>
      </c>
    </row>
    <row r="4" spans="2:18" s="5" customFormat="1" ht="24" thickBot="1">
      <c r="B4" s="12"/>
      <c r="C4" s="12"/>
      <c r="D4" s="12"/>
      <c r="E4" s="12"/>
      <c r="G4" s="12"/>
      <c r="J4" s="164" t="s">
        <v>37</v>
      </c>
      <c r="K4" s="164" t="s">
        <v>31</v>
      </c>
      <c r="L4" s="164" t="s">
        <v>26</v>
      </c>
      <c r="M4" s="164" t="s">
        <v>27</v>
      </c>
      <c r="N4" s="164" t="s">
        <v>4</v>
      </c>
      <c r="O4" s="164" t="s">
        <v>40</v>
      </c>
      <c r="P4" s="164" t="s">
        <v>41</v>
      </c>
      <c r="Q4" s="164" t="s">
        <v>28</v>
      </c>
      <c r="R4" s="164" t="s">
        <v>29</v>
      </c>
    </row>
    <row r="5" spans="2:18" ht="12.75">
      <c r="B5" s="7"/>
      <c r="C5" s="7"/>
      <c r="D5" s="7"/>
      <c r="E5" s="15"/>
      <c r="F5" s="15"/>
      <c r="G5" s="89"/>
      <c r="H5" s="14"/>
      <c r="J5" s="165" t="s">
        <v>72</v>
      </c>
      <c r="K5" s="165"/>
      <c r="L5" s="165" t="str">
        <f>$B$2&amp;'EB2'!$D$2</f>
        <v>COMCOA</v>
      </c>
      <c r="M5" s="166" t="str">
        <f>$C$2&amp;" "&amp;'EB2'!$D$3</f>
        <v>Commercial Solid Fuels</v>
      </c>
      <c r="N5" s="165" t="str">
        <f t="shared" si="0" ref="N5:N10">$E$2</f>
        <v>PJ</v>
      </c>
      <c r="O5" s="165"/>
      <c r="P5" s="165"/>
      <c r="Q5" s="165"/>
      <c r="R5" s="165"/>
    </row>
    <row r="6" spans="2:18" ht="12.75">
      <c r="B6" s="7"/>
      <c r="C6" s="7"/>
      <c r="D6" s="7"/>
      <c r="E6" s="15"/>
      <c r="F6" s="15"/>
      <c r="G6" s="89"/>
      <c r="H6" s="14"/>
      <c r="J6" s="165"/>
      <c r="K6" s="165"/>
      <c r="L6" s="165" t="str">
        <f>$B$2&amp;'EB2'!$E$2</f>
        <v>COMGAS</v>
      </c>
      <c r="M6" s="166" t="str">
        <f>$C$2&amp;" "&amp;'EB2'!$E$3</f>
        <v>Commercial Natural Gas</v>
      </c>
      <c r="N6" s="165" t="str">
        <f t="shared" si="0"/>
        <v>PJ</v>
      </c>
      <c r="O6" s="165"/>
      <c r="P6" s="165"/>
      <c r="Q6" s="165"/>
      <c r="R6" s="165"/>
    </row>
    <row r="7" spans="2:18" ht="12.75">
      <c r="B7" s="7"/>
      <c r="C7" s="7"/>
      <c r="D7" s="7"/>
      <c r="E7" s="15"/>
      <c r="F7" s="15"/>
      <c r="G7" s="89"/>
      <c r="H7" s="14"/>
      <c r="J7" s="165"/>
      <c r="K7" s="165"/>
      <c r="L7" s="165" t="str">
        <f>$B$2&amp;'EB2'!$F$2</f>
        <v>COMOIL</v>
      </c>
      <c r="M7" s="166" t="str">
        <f>$C$2&amp;" "&amp;RIGHT('EB2'!$F$3,3)</f>
        <v>Commercial oil</v>
      </c>
      <c r="N7" s="165" t="str">
        <f t="shared" si="0"/>
        <v>PJ</v>
      </c>
      <c r="O7" s="165"/>
      <c r="P7" s="165"/>
      <c r="Q7" s="165"/>
      <c r="R7" s="165"/>
    </row>
    <row r="8" spans="2:18" ht="12.75">
      <c r="B8" s="7"/>
      <c r="C8" s="7"/>
      <c r="D8" s="7"/>
      <c r="E8" s="15"/>
      <c r="F8" s="15"/>
      <c r="G8" s="89"/>
      <c r="H8" s="14"/>
      <c r="J8" s="165"/>
      <c r="K8" s="165"/>
      <c r="L8" s="165" t="str">
        <f>$B$2&amp;'EB2'!$O$2</f>
        <v>COMBIO</v>
      </c>
      <c r="M8" s="166" t="str">
        <f>$C$2&amp;" "&amp;'EB2'!$O$3</f>
        <v>Commercial Biomass</v>
      </c>
      <c r="N8" s="165" t="str">
        <f t="shared" si="0"/>
        <v>PJ</v>
      </c>
      <c r="O8" s="165"/>
      <c r="P8" s="165"/>
      <c r="Q8" s="165"/>
      <c r="R8" s="165"/>
    </row>
    <row r="9" spans="2:18" ht="12.75">
      <c r="B9" s="7"/>
      <c r="C9" s="7"/>
      <c r="D9" s="7"/>
      <c r="E9" s="15"/>
      <c r="F9" s="15"/>
      <c r="G9" s="89"/>
      <c r="H9" s="14"/>
      <c r="J9" s="167"/>
      <c r="K9" s="167"/>
      <c r="L9" s="165" t="str">
        <f>$B$2&amp;'EB2'!$R$2</f>
        <v>COMSOL</v>
      </c>
      <c r="M9" s="166" t="str">
        <f>$C$2&amp;" "&amp;'EB2'!$R$3</f>
        <v>Commercial Solar energy</v>
      </c>
      <c r="N9" s="165" t="str">
        <f t="shared" si="0"/>
        <v>PJ</v>
      </c>
      <c r="O9" s="167"/>
      <c r="P9" s="167"/>
      <c r="Q9" s="167"/>
      <c r="R9" s="167"/>
    </row>
    <row r="10" spans="2:18" ht="12.75">
      <c r="B10" s="7"/>
      <c r="C10" s="7"/>
      <c r="D10" s="7"/>
      <c r="E10" s="15"/>
      <c r="F10" s="15"/>
      <c r="G10" s="89"/>
      <c r="H10" s="14"/>
      <c r="J10" s="165"/>
      <c r="K10" s="165"/>
      <c r="L10" s="165" t="str">
        <f>$B$2&amp;'EB2'!$U$2</f>
        <v>COMELC</v>
      </c>
      <c r="M10" s="166" t="str">
        <f>$C$2&amp;" "&amp;'EB2'!$U$3</f>
        <v>Commercial Electricity</v>
      </c>
      <c r="N10" s="165" t="str">
        <f t="shared" si="0"/>
        <v>PJ</v>
      </c>
      <c r="O10" s="165"/>
      <c r="P10" s="165" t="s">
        <v>130</v>
      </c>
      <c r="Q10" s="165"/>
      <c r="R10" s="165" t="s">
        <v>50</v>
      </c>
    </row>
    <row r="11" spans="12:13" ht="12.75">
      <c r="L11" s="36"/>
      <c r="M11" s="38"/>
    </row>
    <row r="12" spans="4:18" ht="12.75">
      <c r="D12" s="4" t="s">
        <v>13</v>
      </c>
      <c r="E12" s="4"/>
      <c r="F12" s="4"/>
      <c r="J12" s="160" t="s">
        <v>15</v>
      </c>
      <c r="K12" s="160"/>
      <c r="L12" s="167"/>
      <c r="M12" s="167"/>
      <c r="N12" s="167"/>
      <c r="O12" s="167"/>
      <c r="P12" s="167"/>
      <c r="Q12" s="167"/>
      <c r="R12" s="167"/>
    </row>
    <row r="13" spans="2:18" ht="12.75">
      <c r="B13" s="22" t="s">
        <v>1</v>
      </c>
      <c r="C13" s="22" t="s">
        <v>5</v>
      </c>
      <c r="D13" s="22" t="s">
        <v>6</v>
      </c>
      <c r="E13" s="95" t="s">
        <v>152</v>
      </c>
      <c r="F13" s="92" t="s">
        <v>132</v>
      </c>
      <c r="G13" s="92" t="s">
        <v>84</v>
      </c>
      <c r="H13" s="92" t="s">
        <v>79</v>
      </c>
      <c r="J13" s="162" t="s">
        <v>11</v>
      </c>
      <c r="K13" s="163" t="s">
        <v>30</v>
      </c>
      <c r="L13" s="162" t="s">
        <v>1</v>
      </c>
      <c r="M13" s="162" t="s">
        <v>2</v>
      </c>
      <c r="N13" s="162" t="s">
        <v>16</v>
      </c>
      <c r="O13" s="162" t="s">
        <v>17</v>
      </c>
      <c r="P13" s="162" t="s">
        <v>18</v>
      </c>
      <c r="Q13" s="162" t="s">
        <v>19</v>
      </c>
      <c r="R13" s="162" t="s">
        <v>20</v>
      </c>
    </row>
    <row r="14" spans="2:18" ht="23.25" thickBot="1">
      <c r="B14" s="20" t="s">
        <v>39</v>
      </c>
      <c r="C14" s="20" t="s">
        <v>32</v>
      </c>
      <c r="D14" s="20" t="s">
        <v>33</v>
      </c>
      <c r="E14" s="20" t="s">
        <v>151</v>
      </c>
      <c r="F14" s="20" t="s">
        <v>34</v>
      </c>
      <c r="G14" s="20" t="s">
        <v>89</v>
      </c>
      <c r="H14" s="20" t="s">
        <v>92</v>
      </c>
      <c r="J14" s="164" t="s">
        <v>38</v>
      </c>
      <c r="K14" s="164" t="s">
        <v>31</v>
      </c>
      <c r="L14" s="164" t="s">
        <v>21</v>
      </c>
      <c r="M14" s="164" t="s">
        <v>22</v>
      </c>
      <c r="N14" s="164" t="s">
        <v>23</v>
      </c>
      <c r="O14" s="164" t="s">
        <v>24</v>
      </c>
      <c r="P14" s="164" t="s">
        <v>43</v>
      </c>
      <c r="Q14" s="164" t="s">
        <v>42</v>
      </c>
      <c r="R14" s="164" t="s">
        <v>25</v>
      </c>
    </row>
    <row r="15" spans="2:18" ht="13.5" thickBot="1">
      <c r="B15" s="19" t="s">
        <v>90</v>
      </c>
      <c r="C15" s="19"/>
      <c r="D15" s="19"/>
      <c r="E15" s="17"/>
      <c r="F15" s="17" t="str">
        <f>E2&amp;"a"</f>
        <v>PJa</v>
      </c>
      <c r="G15" s="17"/>
      <c r="H15" s="17" t="s">
        <v>91</v>
      </c>
      <c r="J15" s="164" t="s">
        <v>81</v>
      </c>
      <c r="K15" s="168"/>
      <c r="L15" s="168"/>
      <c r="M15" s="168"/>
      <c r="N15" s="168"/>
      <c r="O15" s="168"/>
      <c r="P15" s="168"/>
      <c r="Q15" s="168"/>
      <c r="R15" s="168"/>
    </row>
    <row r="16" spans="2:18" ht="12.75">
      <c r="B16" t="str">
        <f>L16</f>
        <v>FTE-COMCOA</v>
      </c>
      <c r="C16" t="str">
        <f>RIGHT(D16,3)</f>
        <v>COA</v>
      </c>
      <c r="D16" t="str">
        <f>L5</f>
        <v>COMCOA</v>
      </c>
      <c r="E16" s="15"/>
      <c r="F16" s="15"/>
      <c r="G16" s="83">
        <v>1</v>
      </c>
      <c r="H16" s="84">
        <v>30</v>
      </c>
      <c r="J16" s="169" t="s">
        <v>116</v>
      </c>
      <c r="K16" s="165"/>
      <c r="L16" s="165" t="str">
        <f t="shared" si="1" ref="L16:L21">"FT"&amp;$G$2&amp;"-"&amp;L5</f>
        <v>FTE-COMCOA</v>
      </c>
      <c r="M16" s="166" t="str">
        <f t="shared" si="2" ref="M16:M21">$D$2&amp;" Technology"&amp;" "&amp;$G$1&amp;" "&amp;M5</f>
        <v>Sector Fuel Technology Existing Commercial Solid Fuels</v>
      </c>
      <c r="N16" s="165" t="str">
        <f t="shared" si="3" ref="N16:N21">$E$2</f>
        <v>PJ</v>
      </c>
      <c r="O16" s="165" t="str">
        <f t="shared" si="4" ref="O16:O21">$E$2&amp;"a"</f>
        <v>PJa</v>
      </c>
      <c r="P16" s="165"/>
      <c r="Q16" s="165"/>
      <c r="R16" s="165"/>
    </row>
    <row r="17" spans="2:18" ht="12.75">
      <c r="B17" t="str">
        <f>L17</f>
        <v>FTE-COMGAS</v>
      </c>
      <c r="C17" t="str">
        <f>RIGHT(D17,3)</f>
        <v>GAS</v>
      </c>
      <c r="D17" t="str">
        <f>L6</f>
        <v>COMGAS</v>
      </c>
      <c r="E17" s="15"/>
      <c r="F17" s="15"/>
      <c r="G17" s="83">
        <v>1</v>
      </c>
      <c r="H17" s="84">
        <v>30</v>
      </c>
      <c r="J17" s="165"/>
      <c r="K17" s="165"/>
      <c r="L17" s="165" t="str">
        <f t="shared" si="1"/>
        <v>FTE-COMGAS</v>
      </c>
      <c r="M17" s="166" t="str">
        <f t="shared" si="2"/>
        <v>Sector Fuel Technology Existing Commercial Natural Gas</v>
      </c>
      <c r="N17" s="165" t="str">
        <f t="shared" si="3"/>
        <v>PJ</v>
      </c>
      <c r="O17" s="165" t="str">
        <f t="shared" si="4"/>
        <v>PJa</v>
      </c>
      <c r="P17" s="165"/>
      <c r="Q17" s="165"/>
      <c r="R17" s="165"/>
    </row>
    <row r="18" spans="2:18" ht="12.75">
      <c r="B18" t="str">
        <f>L18</f>
        <v>FTE-COMOIL</v>
      </c>
      <c r="C18" t="str">
        <f>'EB2'!$G$2</f>
        <v>DSL</v>
      </c>
      <c r="D18" t="str">
        <f>L7</f>
        <v>COMOIL</v>
      </c>
      <c r="E18" s="146">
        <f>'EB2'!$G$6/SUM('EB2'!$G$6:$J$6,'EB2'!$L$6:$M$6)*1.01</f>
        <v>0.87161460441501615</v>
      </c>
      <c r="G18" s="83">
        <v>1</v>
      </c>
      <c r="H18" s="84">
        <v>30</v>
      </c>
      <c r="J18" s="165"/>
      <c r="K18" s="165"/>
      <c r="L18" s="165" t="str">
        <f t="shared" si="1"/>
        <v>FTE-COMOIL</v>
      </c>
      <c r="M18" s="166" t="str">
        <f t="shared" si="2"/>
        <v>Sector Fuel Technology Existing Commercial oil</v>
      </c>
      <c r="N18" s="165" t="str">
        <f t="shared" si="3"/>
        <v>PJ</v>
      </c>
      <c r="O18" s="165" t="str">
        <f t="shared" si="4"/>
        <v>PJa</v>
      </c>
      <c r="P18" s="165"/>
      <c r="Q18" s="165"/>
      <c r="R18" s="165"/>
    </row>
    <row r="19" spans="3:18" ht="12.75">
      <c r="C19" t="str">
        <f>'EB2'!$H$2</f>
        <v>KER</v>
      </c>
      <c r="E19" s="146">
        <f>'EB2'!$H$6/SUM('EB2'!$G$6:$J$6,'EB2'!$L$6:$M$6)*1.01</f>
        <v>0.0039629157356605559</v>
      </c>
      <c r="F19" s="15"/>
      <c r="G19" s="89"/>
      <c r="H19" s="14"/>
      <c r="J19" s="165"/>
      <c r="K19" s="165"/>
      <c r="L19" s="165" t="str">
        <f t="shared" si="1"/>
        <v>FTE-COMBIO</v>
      </c>
      <c r="M19" s="166" t="str">
        <f t="shared" si="2"/>
        <v>Sector Fuel Technology Existing Commercial Biomass</v>
      </c>
      <c r="N19" s="165" t="str">
        <f t="shared" si="3"/>
        <v>PJ</v>
      </c>
      <c r="O19" s="165" t="str">
        <f t="shared" si="4"/>
        <v>PJa</v>
      </c>
      <c r="P19" s="165"/>
      <c r="Q19" s="165"/>
      <c r="R19" s="165"/>
    </row>
    <row r="20" spans="3:18" ht="12.75">
      <c r="C20" t="str">
        <f>'EB2'!$I$2</f>
        <v>LPG</v>
      </c>
      <c r="E20" s="146">
        <f>'EB2'!$I$6/SUM('EB2'!$G$6:$J$6,'EB2'!$L$6:$M$6)*1.01</f>
        <v>0.074678630338905719</v>
      </c>
      <c r="F20" s="15"/>
      <c r="G20" s="89"/>
      <c r="H20" s="14"/>
      <c r="J20" s="167"/>
      <c r="K20" s="167"/>
      <c r="L20" s="165" t="str">
        <f t="shared" si="1"/>
        <v>FTE-COMSOL</v>
      </c>
      <c r="M20" s="166" t="str">
        <f t="shared" si="2"/>
        <v>Sector Fuel Technology Existing Commercial Solar energy</v>
      </c>
      <c r="N20" s="165" t="str">
        <f t="shared" si="3"/>
        <v>PJ</v>
      </c>
      <c r="O20" s="165" t="str">
        <f t="shared" si="4"/>
        <v>PJa</v>
      </c>
      <c r="P20" s="167"/>
      <c r="Q20" s="165"/>
      <c r="R20" s="165"/>
    </row>
    <row r="21" spans="3:18" ht="12.75">
      <c r="C21" t="str">
        <f>'EB2'!$J$2</f>
        <v>GSL</v>
      </c>
      <c r="E21" s="146">
        <f>'EB2'!$J$6/SUM('EB2'!$G$6:$J$6,'EB2'!$L$6:$M$6)*1.01</f>
        <v>0.013516921889074763</v>
      </c>
      <c r="F21" s="15"/>
      <c r="G21" s="89"/>
      <c r="H21" s="14"/>
      <c r="J21" s="165"/>
      <c r="K21" s="165"/>
      <c r="L21" s="165" t="str">
        <f t="shared" si="1"/>
        <v>FTE-COMELC</v>
      </c>
      <c r="M21" s="166" t="str">
        <f t="shared" si="2"/>
        <v>Sector Fuel Technology Existing Commercial Electricity</v>
      </c>
      <c r="N21" s="165" t="str">
        <f t="shared" si="3"/>
        <v>PJ</v>
      </c>
      <c r="O21" s="165" t="str">
        <f t="shared" si="4"/>
        <v>PJa</v>
      </c>
      <c r="P21" s="165" t="s">
        <v>130</v>
      </c>
      <c r="Q21" s="165"/>
      <c r="R21" s="165"/>
    </row>
    <row r="22" spans="3:18" ht="12.75">
      <c r="C22" t="str">
        <f>'EB2'!$L$2</f>
        <v>HFO</v>
      </c>
      <c r="E22" s="146">
        <f>'EB2'!$L$6/SUM('EB2'!$G$6:$J$6,'EB2'!$L$6:$M$6)*1.01</f>
        <v>0.045655057849112668</v>
      </c>
      <c r="F22" s="15"/>
      <c r="G22" s="89"/>
      <c r="H22" s="14"/>
      <c r="J22" s="5"/>
      <c r="K22" s="5"/>
      <c r="L22" s="5"/>
      <c r="M22" s="26"/>
      <c r="N22" s="5"/>
      <c r="O22" s="5"/>
      <c r="P22" s="5"/>
      <c r="Q22" s="5"/>
      <c r="R22" s="5"/>
    </row>
    <row r="23" spans="3:18" ht="12.75">
      <c r="C23" t="str">
        <f>'EB2'!$M$2</f>
        <v>OPP</v>
      </c>
      <c r="E23" s="146">
        <f>'EB2'!$M$6/SUM('EB2'!$G$6:$J$6,'EB2'!$L$6:$M$6)*1.01</f>
        <v>0.00057186977223008622</v>
      </c>
      <c r="F23" s="15"/>
      <c r="G23" s="89"/>
      <c r="H23" s="14"/>
      <c r="J23" s="5"/>
      <c r="K23" s="5"/>
      <c r="L23" s="5"/>
      <c r="M23" s="26"/>
      <c r="N23" s="5"/>
      <c r="O23" s="5"/>
      <c r="P23" s="5"/>
      <c r="Q23" s="5"/>
      <c r="R23" s="5"/>
    </row>
    <row r="24" spans="2:18" ht="12.75">
      <c r="B24" t="str">
        <f>L19</f>
        <v>FTE-COMBIO</v>
      </c>
      <c r="C24" t="str">
        <f>RIGHT(D24,3)</f>
        <v>BIO</v>
      </c>
      <c r="D24" t="str">
        <f>L8</f>
        <v>COMBIO</v>
      </c>
      <c r="E24" s="15"/>
      <c r="F24" s="15"/>
      <c r="G24" s="83">
        <v>1</v>
      </c>
      <c r="H24" s="84">
        <v>30</v>
      </c>
      <c r="J24" s="34"/>
      <c r="K24" s="33"/>
      <c r="L24" s="5"/>
      <c r="M24" s="26"/>
      <c r="N24" s="5"/>
      <c r="O24" s="5"/>
      <c r="P24" s="5"/>
      <c r="Q24" s="5"/>
      <c r="R24" s="5"/>
    </row>
    <row r="25" spans="2:18" ht="12.75">
      <c r="B25" t="str">
        <f>L20</f>
        <v>FTE-COMSOL</v>
      </c>
      <c r="C25" t="str">
        <f>RIGHT(D25,3)</f>
        <v>SOL</v>
      </c>
      <c r="D25" t="str">
        <f>L9</f>
        <v>COMSOL</v>
      </c>
      <c r="E25" s="15"/>
      <c r="F25" s="15"/>
      <c r="G25" s="83">
        <v>1</v>
      </c>
      <c r="H25" s="84">
        <v>30</v>
      </c>
      <c r="J25" s="34"/>
      <c r="K25" s="33"/>
      <c r="L25" s="5"/>
      <c r="M25" s="26"/>
      <c r="N25" s="5"/>
      <c r="O25" s="5"/>
      <c r="P25" s="5"/>
      <c r="Q25" s="5"/>
      <c r="R25" s="5"/>
    </row>
    <row r="26" spans="2:18" ht="12.75">
      <c r="B26" t="str">
        <f>L21</f>
        <v>FTE-COMELC</v>
      </c>
      <c r="C26" t="str">
        <f>RIGHT(D26,3)</f>
        <v>ELC</v>
      </c>
      <c r="D26" t="str">
        <f>L10</f>
        <v>COMELC</v>
      </c>
      <c r="E26" s="15"/>
      <c r="F26" s="15"/>
      <c r="G26" s="83">
        <v>1</v>
      </c>
      <c r="H26" s="84">
        <v>30</v>
      </c>
      <c r="J26" s="33"/>
      <c r="K26" s="33"/>
      <c r="L26" s="5"/>
      <c r="M26" s="26"/>
      <c r="N26" s="5"/>
      <c r="O26" s="5"/>
      <c r="P26" s="5"/>
      <c r="Q26" s="5"/>
      <c r="R26" s="5"/>
    </row>
    <row r="27" spans="2:18" ht="12.75">
      <c r="B27" s="5"/>
      <c r="C27" s="5"/>
      <c r="D27" s="5"/>
      <c r="E27" s="15"/>
      <c r="F27" s="15"/>
      <c r="G27" s="89"/>
      <c r="H27" s="14"/>
      <c r="J27" s="39"/>
      <c r="K27" s="37"/>
      <c r="L27" s="5"/>
      <c r="M27" s="26"/>
      <c r="N27" s="5"/>
      <c r="O27" s="5"/>
      <c r="P27" s="5"/>
      <c r="Q27" s="5"/>
      <c r="R27" s="5"/>
    </row>
    <row r="28" spans="2:18" ht="12.75">
      <c r="B28" s="5"/>
      <c r="C28" s="5"/>
      <c r="D28" s="5"/>
      <c r="E28" s="15"/>
      <c r="F28" s="15"/>
      <c r="G28" s="89"/>
      <c r="H28" s="14"/>
      <c r="J28" s="40"/>
      <c r="K28" s="40"/>
      <c r="L28" s="5"/>
      <c r="M28" s="26"/>
      <c r="N28" s="5"/>
      <c r="O28" s="5"/>
      <c r="P28" s="40"/>
      <c r="Q28" s="40"/>
      <c r="R28" s="5"/>
    </row>
    <row r="29" spans="2:18" ht="12.75">
      <c r="B29" s="40"/>
      <c r="C29" s="40"/>
      <c r="D29" s="40"/>
      <c r="E29" s="15"/>
      <c r="F29" s="15"/>
      <c r="G29" s="89"/>
      <c r="H29" s="14"/>
      <c r="J29" s="5"/>
      <c r="K29" s="5"/>
      <c r="L29" s="5"/>
      <c r="M29" s="5"/>
      <c r="N29" s="5"/>
      <c r="O29" s="5"/>
      <c r="P29" s="5"/>
      <c r="Q29" s="5"/>
      <c r="R29" s="5"/>
    </row>
    <row r="30" spans="2:8" ht="12.75">
      <c r="B30" s="35"/>
      <c r="C30" s="5"/>
      <c r="D30" s="35"/>
      <c r="E30" s="15"/>
      <c r="F30" s="15"/>
      <c r="G30" s="89"/>
      <c r="H30" s="14"/>
    </row>
    <row r="31" spans="2:8" ht="12.75">
      <c r="B31" s="35"/>
      <c r="C31" s="5"/>
      <c r="D31" s="35"/>
      <c r="E31" s="15"/>
      <c r="F31" s="15"/>
      <c r="G31" s="89"/>
      <c r="H31" s="14"/>
    </row>
    <row r="32" spans="2:8" ht="12.75">
      <c r="B32" s="35"/>
      <c r="C32" s="5"/>
      <c r="D32" s="35"/>
      <c r="E32" s="120"/>
      <c r="F32" s="15"/>
      <c r="G32" s="89"/>
      <c r="H32" s="14"/>
    </row>
    <row r="33" spans="2:8" ht="12.75">
      <c r="B33" s="35"/>
      <c r="C33" s="5"/>
      <c r="D33" s="35"/>
      <c r="E33" s="120"/>
      <c r="F33" s="15"/>
      <c r="G33" s="89"/>
      <c r="H33" s="14"/>
    </row>
    <row r="34" spans="2:8" ht="12.75">
      <c r="B34" s="35"/>
      <c r="C34" s="5"/>
      <c r="D34" s="35"/>
      <c r="E34" s="120"/>
      <c r="F34" s="15"/>
      <c r="G34" s="89"/>
      <c r="H34" s="14"/>
    </row>
    <row r="35" spans="2:8" ht="12.75">
      <c r="B35" s="35"/>
      <c r="C35" s="5"/>
      <c r="D35" s="35"/>
      <c r="E35" s="120"/>
      <c r="F35" s="15"/>
      <c r="G35" s="89"/>
      <c r="H35" s="14"/>
    </row>
    <row r="36" spans="2:8" ht="12.75">
      <c r="B36" s="36"/>
      <c r="C36" s="5"/>
      <c r="D36" s="35"/>
      <c r="E36" s="15"/>
      <c r="F36" s="15"/>
      <c r="G36" s="89"/>
      <c r="H36" s="14"/>
    </row>
    <row r="37" spans="2:8" ht="12.75">
      <c r="B37" s="36"/>
      <c r="C37" s="5"/>
      <c r="D37" s="35"/>
      <c r="E37" s="15"/>
      <c r="F37" s="15"/>
      <c r="G37" s="89"/>
      <c r="H37" s="14"/>
    </row>
    <row r="41" spans="2:3" ht="12.75">
      <c r="B41" s="58"/>
      <c r="C41" s="1" t="s">
        <v>156</v>
      </c>
    </row>
    <row r="42" spans="2:3" ht="12.75">
      <c r="B42" s="81"/>
      <c r="C42" s="1" t="s">
        <v>157</v>
      </c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U42"/>
  <sheetViews>
    <sheetView workbookViewId="0" topLeftCell="A1">
      <selection pane="topLeft" activeCell="H12" sqref="H12"/>
    </sheetView>
  </sheetViews>
  <sheetFormatPr defaultRowHeight="12.75"/>
  <cols>
    <col min="1" max="1" width="3" customWidth="1"/>
    <col min="2" max="2" width="12.1428571428571" bestFit="1" customWidth="1"/>
    <col min="3" max="3" width="11.8571428571429" bestFit="1" customWidth="1"/>
    <col min="4" max="4" width="13.8571428571429" bestFit="1" customWidth="1"/>
    <col min="5" max="5" width="12.2857142857143" bestFit="1" customWidth="1"/>
    <col min="6" max="6" width="12.4285714285714" bestFit="1" customWidth="1"/>
    <col min="7" max="7" width="13.1428571428571" bestFit="1" customWidth="1"/>
    <col min="8" max="8" width="14.4285714285714" bestFit="1" customWidth="1"/>
    <col min="9" max="9" width="8.14285714285714" customWidth="1"/>
    <col min="10" max="10" width="2" customWidth="1"/>
    <col min="11" max="11" width="11.5714285714286" customWidth="1"/>
    <col min="12" max="12" width="2" style="40" bestFit="1" customWidth="1"/>
    <col min="13" max="13" width="12.7142857142857" bestFit="1" customWidth="1"/>
    <col min="14" max="14" width="7.14285714285714" customWidth="1"/>
    <col min="15" max="15" width="16.1428571428571" bestFit="1" customWidth="1"/>
    <col min="16" max="16" width="77.5714285714286" bestFit="1" customWidth="1"/>
    <col min="17" max="17" width="5.71428571428571" customWidth="1"/>
    <col min="18" max="18" width="11.7142857142857" customWidth="1"/>
    <col min="19" max="19" width="13.4285714285714" customWidth="1"/>
    <col min="20" max="20" width="13.8571428571429" customWidth="1"/>
    <col min="21" max="21" width="8.42857142857143" customWidth="1"/>
  </cols>
  <sheetData>
    <row r="1" spans="2:9" ht="15">
      <c r="B1" s="11" t="s">
        <v>73</v>
      </c>
      <c r="C1" s="11" t="s">
        <v>75</v>
      </c>
      <c r="D1" s="11" t="s">
        <v>118</v>
      </c>
      <c r="E1" s="30" t="s">
        <v>23</v>
      </c>
      <c r="F1" s="30" t="s">
        <v>121</v>
      </c>
      <c r="G1" s="11" t="s">
        <v>78</v>
      </c>
      <c r="I1" s="11" t="s">
        <v>99</v>
      </c>
    </row>
    <row r="2" spans="2:21" ht="31.5">
      <c r="B2" s="13" t="str">
        <f>'EB2'!B6</f>
        <v>COM</v>
      </c>
      <c r="C2" s="13" t="str">
        <f>'EB2'!C6</f>
        <v>Commercial</v>
      </c>
      <c r="D2" s="25" t="str">
        <f>"Demand Technologies"</f>
        <v>Demand Technologies</v>
      </c>
      <c r="E2" s="13" t="str">
        <f>'EB2'!Z2</f>
        <v>PJ</v>
      </c>
      <c r="F2" s="13" t="s">
        <v>122</v>
      </c>
      <c r="G2" s="13" t="str">
        <f>'EB2'!Y2</f>
        <v>M€2005</v>
      </c>
      <c r="I2" s="13" t="s">
        <v>100</v>
      </c>
      <c r="M2" s="160" t="s">
        <v>14</v>
      </c>
      <c r="N2" s="160"/>
      <c r="O2" s="161"/>
      <c r="P2" s="161"/>
      <c r="Q2" s="161"/>
      <c r="R2" s="161"/>
      <c r="S2" s="161"/>
      <c r="T2" s="161"/>
      <c r="U2" s="161"/>
    </row>
    <row r="3" spans="13:21" ht="12.75">
      <c r="M3" s="162" t="s">
        <v>7</v>
      </c>
      <c r="N3" s="163" t="s">
        <v>30</v>
      </c>
      <c r="O3" s="162" t="s">
        <v>0</v>
      </c>
      <c r="P3" s="162" t="s">
        <v>3</v>
      </c>
      <c r="Q3" s="162" t="s">
        <v>4</v>
      </c>
      <c r="R3" s="162" t="s">
        <v>8</v>
      </c>
      <c r="S3" s="162" t="s">
        <v>9</v>
      </c>
      <c r="T3" s="162" t="s">
        <v>10</v>
      </c>
      <c r="U3" s="162" t="s">
        <v>12</v>
      </c>
    </row>
    <row r="4" spans="2:21" s="5" customFormat="1" ht="24" thickBot="1">
      <c r="B4" s="12"/>
      <c r="C4" s="12"/>
      <c r="D4" s="12"/>
      <c r="E4" s="12"/>
      <c r="F4" s="12"/>
      <c r="L4" s="40"/>
      <c r="M4" s="164" t="s">
        <v>37</v>
      </c>
      <c r="N4" s="164" t="s">
        <v>31</v>
      </c>
      <c r="O4" s="164" t="s">
        <v>26</v>
      </c>
      <c r="P4" s="164" t="s">
        <v>27</v>
      </c>
      <c r="Q4" s="164" t="s">
        <v>4</v>
      </c>
      <c r="R4" s="164" t="s">
        <v>40</v>
      </c>
      <c r="S4" s="164" t="s">
        <v>41</v>
      </c>
      <c r="T4" s="164" t="s">
        <v>28</v>
      </c>
      <c r="U4" s="164" t="s">
        <v>29</v>
      </c>
    </row>
    <row r="5" spans="2:21" s="5" customFormat="1" ht="15.75">
      <c r="B5" s="12"/>
      <c r="C5" s="12"/>
      <c r="D5" s="12"/>
      <c r="E5" s="12"/>
      <c r="F5" s="12"/>
      <c r="L5" s="40"/>
      <c r="M5" s="169" t="s">
        <v>83</v>
      </c>
      <c r="N5" s="165"/>
      <c r="O5" s="169" t="str">
        <f>LEFT($M$5,1)&amp;LEFT($B$2,1)&amp;'EB2'!$C$24</f>
        <v>DCSH</v>
      </c>
      <c r="P5" s="169" t="str">
        <f>LEFT($D$2,6)&amp;" "&amp;$C$2&amp;" Sector - "&amp;'EB2'!$X$24</f>
        <v>Demand Commercial Sector - Space Heating</v>
      </c>
      <c r="Q5" s="169" t="str">
        <f>$E$2</f>
        <v>PJ</v>
      </c>
      <c r="R5" s="169"/>
      <c r="S5" s="169"/>
      <c r="T5" s="169"/>
      <c r="U5" s="169"/>
    </row>
    <row r="6" spans="2:21" s="5" customFormat="1" ht="15.75">
      <c r="B6" s="12"/>
      <c r="C6" s="12"/>
      <c r="D6" s="12"/>
      <c r="E6" s="12"/>
      <c r="F6" s="12"/>
      <c r="L6" s="40"/>
      <c r="M6" s="169"/>
      <c r="N6" s="165"/>
      <c r="O6" s="169" t="str">
        <f>LEFT($M$5,1)&amp;LEFT($B$2,1)&amp;'EB2'!$C$25</f>
        <v>DCAP</v>
      </c>
      <c r="P6" s="169" t="str">
        <f>LEFT($D$2,6)&amp;" "&amp;$C$2&amp;" Sector - "&amp;'EB2'!$X$25</f>
        <v>Demand Commercial Sector - Appliancens</v>
      </c>
      <c r="Q6" s="169" t="str">
        <f>$E$2</f>
        <v>PJ</v>
      </c>
      <c r="R6" s="169"/>
      <c r="S6" s="169"/>
      <c r="T6" s="169"/>
      <c r="U6" s="169"/>
    </row>
    <row r="7" spans="2:21" s="5" customFormat="1" ht="15.75">
      <c r="B7" s="12"/>
      <c r="C7" s="12"/>
      <c r="D7" s="12"/>
      <c r="E7" s="12"/>
      <c r="F7" s="12"/>
      <c r="L7" s="40"/>
      <c r="M7" s="169"/>
      <c r="N7" s="165"/>
      <c r="O7" s="169" t="str">
        <f>LEFT($M$5,1)&amp;LEFT($B$2,1)&amp;'EB2'!$C$26</f>
        <v>DCOT</v>
      </c>
      <c r="P7" s="169" t="str">
        <f>LEFT($D$2,6)&amp;" "&amp;$C$2&amp;" Sector - "&amp;'EB2'!$X$26</f>
        <v>Demand Commercial Sector - Other</v>
      </c>
      <c r="Q7" s="169" t="str">
        <f>$E$2</f>
        <v>PJ</v>
      </c>
      <c r="R7" s="169"/>
      <c r="S7" s="169"/>
      <c r="T7" s="169"/>
      <c r="U7" s="169"/>
    </row>
    <row r="8" spans="13:21" ht="12.75">
      <c r="M8" s="167" t="s">
        <v>109</v>
      </c>
      <c r="N8" s="167"/>
      <c r="O8" s="167" t="str">
        <f>$B$2&amp;'EB2'!$C$29</f>
        <v>COMCO2</v>
      </c>
      <c r="P8" s="167" t="str">
        <f>$C$2&amp;" "&amp;'EB2'!$C$30</f>
        <v>Commercial Carbon dioxide</v>
      </c>
      <c r="Q8" s="167" t="str">
        <f>'EB2'!$AA$2</f>
        <v>kt</v>
      </c>
      <c r="R8" s="167"/>
      <c r="S8" s="167"/>
      <c r="T8" s="167"/>
      <c r="U8" s="167"/>
    </row>
    <row r="10" spans="4:21" ht="12.75">
      <c r="D10" s="4" t="s">
        <v>13</v>
      </c>
      <c r="E10" s="4"/>
      <c r="G10" s="4"/>
      <c r="H10" s="4"/>
      <c r="I10" s="18"/>
      <c r="M10" s="160" t="s">
        <v>15</v>
      </c>
      <c r="N10" s="160"/>
      <c r="O10" s="167"/>
      <c r="P10" s="167"/>
      <c r="Q10" s="167"/>
      <c r="R10" s="167"/>
      <c r="S10" s="167"/>
      <c r="T10" s="167"/>
      <c r="U10" s="167"/>
    </row>
    <row r="11" spans="2:21" ht="12.75">
      <c r="B11" s="22" t="s">
        <v>1</v>
      </c>
      <c r="C11" s="22" t="s">
        <v>5</v>
      </c>
      <c r="D11" s="22" t="s">
        <v>6</v>
      </c>
      <c r="E11" s="92" t="s">
        <v>132</v>
      </c>
      <c r="F11" s="92" t="s">
        <v>84</v>
      </c>
      <c r="G11" s="92" t="s">
        <v>97</v>
      </c>
      <c r="H11" s="92" t="s">
        <v>175</v>
      </c>
      <c r="I11" s="92" t="s">
        <v>79</v>
      </c>
      <c r="K11" s="119" t="s">
        <v>35</v>
      </c>
      <c r="L11" s="129"/>
      <c r="M11" s="162" t="s">
        <v>11</v>
      </c>
      <c r="N11" s="163" t="s">
        <v>30</v>
      </c>
      <c r="O11" s="162" t="s">
        <v>1</v>
      </c>
      <c r="P11" s="162" t="s">
        <v>2</v>
      </c>
      <c r="Q11" s="162" t="s">
        <v>16</v>
      </c>
      <c r="R11" s="162" t="s">
        <v>17</v>
      </c>
      <c r="S11" s="162" t="s">
        <v>18</v>
      </c>
      <c r="T11" s="162" t="s">
        <v>19</v>
      </c>
      <c r="U11" s="162" t="s">
        <v>20</v>
      </c>
    </row>
    <row r="12" spans="2:21" ht="23.25" thickBot="1">
      <c r="B12" s="20" t="s">
        <v>39</v>
      </c>
      <c r="C12" s="20" t="s">
        <v>32</v>
      </c>
      <c r="D12" s="20" t="s">
        <v>33</v>
      </c>
      <c r="E12" s="20" t="s">
        <v>34</v>
      </c>
      <c r="F12" s="20" t="s">
        <v>89</v>
      </c>
      <c r="G12" s="106" t="s">
        <v>98</v>
      </c>
      <c r="H12" s="20" t="s">
        <v>123</v>
      </c>
      <c r="I12" s="20" t="s">
        <v>174</v>
      </c>
      <c r="K12" s="119" t="s">
        <v>161</v>
      </c>
      <c r="L12" s="51"/>
      <c r="M12" s="164" t="s">
        <v>38</v>
      </c>
      <c r="N12" s="164" t="s">
        <v>31</v>
      </c>
      <c r="O12" s="164" t="s">
        <v>21</v>
      </c>
      <c r="P12" s="164" t="s">
        <v>22</v>
      </c>
      <c r="Q12" s="164" t="s">
        <v>23</v>
      </c>
      <c r="R12" s="164" t="s">
        <v>24</v>
      </c>
      <c r="S12" s="164" t="s">
        <v>43</v>
      </c>
      <c r="T12" s="164" t="s">
        <v>42</v>
      </c>
      <c r="U12" s="164" t="s">
        <v>25</v>
      </c>
    </row>
    <row r="13" spans="2:21" ht="13.5" thickBot="1">
      <c r="B13" s="19" t="s">
        <v>90</v>
      </c>
      <c r="C13" s="19"/>
      <c r="D13" s="19"/>
      <c r="E13" s="17" t="s">
        <v>122</v>
      </c>
      <c r="F13" s="17"/>
      <c r="G13" s="94"/>
      <c r="H13" s="17" t="str">
        <f>$F$2&amp;"/"&amp;$E$2</f>
        <v>GW/PJ</v>
      </c>
      <c r="I13" s="17" t="s">
        <v>91</v>
      </c>
      <c r="K13" s="17"/>
      <c r="M13" s="164" t="s">
        <v>81</v>
      </c>
      <c r="N13" s="164"/>
      <c r="O13" s="164"/>
      <c r="P13" s="164"/>
      <c r="Q13" s="164"/>
      <c r="R13" s="164"/>
      <c r="S13" s="164"/>
      <c r="T13" s="164"/>
      <c r="U13" s="164"/>
    </row>
    <row r="14" spans="2:21" ht="12.75">
      <c r="B14" t="str">
        <f>O14</f>
        <v>CSHECOA</v>
      </c>
      <c r="C14" t="str">
        <f>$B$2&amp;RIGHT(B14,3)</f>
        <v>COMCOA</v>
      </c>
      <c r="D14" t="str">
        <f t="shared" si="0" ref="D14:D19">$O$5</f>
        <v>DCSH</v>
      </c>
      <c r="E14" s="80">
        <f>'EB2'!$D$6*'EB2'!$D$24/(G14*H14)*1.01</f>
        <v>0</v>
      </c>
      <c r="F14" s="85">
        <v>0.85</v>
      </c>
      <c r="G14" s="85">
        <v>0.30</v>
      </c>
      <c r="H14" s="87">
        <v>31.536000000000001</v>
      </c>
      <c r="I14" s="58">
        <v>15</v>
      </c>
      <c r="K14" s="45">
        <f>E14*G14*H14</f>
        <v>0</v>
      </c>
      <c r="M14" s="169" t="s">
        <v>96</v>
      </c>
      <c r="N14" s="165"/>
      <c r="O14" s="165" t="str">
        <f>LEFT($B$2)&amp;'EB2'!$C$21&amp;$I$2&amp;'EB2'!$D$2</f>
        <v>CSHECOA</v>
      </c>
      <c r="P14" s="170" t="str">
        <f>$D$2&amp;" "&amp;$C$2&amp;" Sector - "&amp;""&amp;$I$1&amp;" "&amp;'EB2'!$X$21&amp;" - "&amp;'EB2'!$D$3</f>
        <v>Demand Technologies Commercial Sector - Existing Space Heating - Solid Fuels</v>
      </c>
      <c r="Q14" s="165" t="str">
        <f t="shared" si="1" ref="Q14:Q25">$E$2</f>
        <v>PJ</v>
      </c>
      <c r="R14" s="165" t="str">
        <f t="shared" si="2" ref="R14:R25">$E$2&amp;"a"</f>
        <v>PJa</v>
      </c>
      <c r="S14" s="165"/>
      <c r="T14" s="165"/>
      <c r="U14" s="165"/>
    </row>
    <row r="15" spans="2:21" ht="12.75">
      <c r="B15" t="str">
        <f t="shared" si="3" ref="B15:B25">O15</f>
        <v>CSHEGAS</v>
      </c>
      <c r="C15" t="str">
        <f t="shared" si="4" ref="C15:C25">$B$2&amp;RIGHT(B15,3)</f>
        <v>COMGAS</v>
      </c>
      <c r="D15" t="str">
        <f t="shared" si="0"/>
        <v>DCSH</v>
      </c>
      <c r="E15" s="80">
        <f>'EB2'!$E$6*'EB2'!$E$24/(G15*H15)*1.01</f>
        <v>100.98443493150685</v>
      </c>
      <c r="F15" s="85">
        <v>0.90</v>
      </c>
      <c r="G15" s="85">
        <v>0.30</v>
      </c>
      <c r="H15" s="87">
        <v>31.536000000000001</v>
      </c>
      <c r="I15" s="58">
        <v>15</v>
      </c>
      <c r="K15" s="45">
        <f t="shared" si="5" ref="K15:K25">E15*G15*H15</f>
        <v>955.39354200000002</v>
      </c>
      <c r="M15" s="165"/>
      <c r="N15" s="165"/>
      <c r="O15" s="165" t="str">
        <f>LEFT($B$2)&amp;'EB2'!$C$21&amp;$I$2&amp;'EB2'!$E$2</f>
        <v>CSHEGAS</v>
      </c>
      <c r="P15" s="170" t="str">
        <f>$D$2&amp;" "&amp;$C$2&amp;" Sector - "&amp;""&amp;$I$1&amp;" "&amp;'EB2'!$X$21&amp;" - "&amp;'EB2'!$E$3</f>
        <v>Demand Technologies Commercial Sector - Existing Space Heating - Natural Gas</v>
      </c>
      <c r="Q15" s="165" t="str">
        <f t="shared" si="1"/>
        <v>PJ</v>
      </c>
      <c r="R15" s="165" t="str">
        <f t="shared" si="2"/>
        <v>PJa</v>
      </c>
      <c r="S15" s="165"/>
      <c r="T15" s="165"/>
      <c r="U15" s="165"/>
    </row>
    <row r="16" spans="2:21" ht="12.75">
      <c r="B16" t="str">
        <f t="shared" si="3"/>
        <v>CSHEOIL</v>
      </c>
      <c r="C16" t="str">
        <f t="shared" si="4"/>
        <v>COMOIL</v>
      </c>
      <c r="D16" t="str">
        <f t="shared" si="0"/>
        <v>DCSH</v>
      </c>
      <c r="E16" s="80">
        <f>SUM('EB2'!$G$6:$J$6,'EB2'!$L$6:$M$6)*'EB2'!$G$24/(G16*H16)*1.01</f>
        <v>41.065358637747337</v>
      </c>
      <c r="F16" s="85">
        <v>0.80</v>
      </c>
      <c r="G16" s="85">
        <v>0.30</v>
      </c>
      <c r="H16" s="87">
        <v>31.536000000000001</v>
      </c>
      <c r="I16" s="58">
        <v>15</v>
      </c>
      <c r="K16" s="45">
        <f t="shared" si="5"/>
        <v>388.51114500000006</v>
      </c>
      <c r="M16" s="165"/>
      <c r="N16" s="165"/>
      <c r="O16" s="165" t="str">
        <f>LEFT($B$2)&amp;'EB2'!$C$21&amp;$I$2&amp;'EB2'!$F$2</f>
        <v>CSHEOIL</v>
      </c>
      <c r="P16" s="170" t="str">
        <f>$D$2&amp;" "&amp;$C$2&amp;" Sector - "&amp;""&amp;$I$1&amp;" "&amp;'EB2'!$X$21&amp;" - "&amp;RIGHT('EB2'!$F$3,3)</f>
        <v>Demand Technologies Commercial Sector - Existing Space Heating - oil</v>
      </c>
      <c r="Q16" s="165" t="str">
        <f t="shared" si="1"/>
        <v>PJ</v>
      </c>
      <c r="R16" s="165" t="str">
        <f t="shared" si="2"/>
        <v>PJa</v>
      </c>
      <c r="S16" s="165"/>
      <c r="T16" s="165"/>
      <c r="U16" s="165"/>
    </row>
    <row r="17" spans="2:21" ht="12.75">
      <c r="B17" t="str">
        <f t="shared" si="3"/>
        <v>CSHEBIO</v>
      </c>
      <c r="C17" t="str">
        <f t="shared" si="4"/>
        <v>COMBIO</v>
      </c>
      <c r="D17" t="str">
        <f t="shared" si="0"/>
        <v>DCSH</v>
      </c>
      <c r="E17" s="80">
        <f>'EB2'!$O$6*'EB2'!$O$24/(G17*H17)*1.01</f>
        <v>1.2490487062404871</v>
      </c>
      <c r="F17" s="85">
        <v>0.80</v>
      </c>
      <c r="G17" s="85">
        <v>0.30</v>
      </c>
      <c r="H17" s="87">
        <v>31.536000000000001</v>
      </c>
      <c r="I17" s="58">
        <v>15</v>
      </c>
      <c r="J17" s="7"/>
      <c r="K17" s="45">
        <f t="shared" si="5"/>
        <v>11.817</v>
      </c>
      <c r="M17" s="165"/>
      <c r="N17" s="165"/>
      <c r="O17" s="165" t="str">
        <f>LEFT($B$2)&amp;'EB2'!$C$21&amp;$I$2&amp;'EB2'!$O$2</f>
        <v>CSHEBIO</v>
      </c>
      <c r="P17" s="170" t="str">
        <f>$D$2&amp;" "&amp;$C$2&amp;" Sector - "&amp;""&amp;$I$1&amp;" "&amp;'EB2'!$X$21&amp;" - "&amp;'EB2'!$O$3</f>
        <v>Demand Technologies Commercial Sector - Existing Space Heating - Biomass</v>
      </c>
      <c r="Q17" s="165" t="str">
        <f t="shared" si="1"/>
        <v>PJ</v>
      </c>
      <c r="R17" s="165" t="str">
        <f t="shared" si="2"/>
        <v>PJa</v>
      </c>
      <c r="S17" s="165"/>
      <c r="T17" s="165"/>
      <c r="U17" s="165"/>
    </row>
    <row r="18" spans="2:21" ht="12.75">
      <c r="B18" t="str">
        <f>O18</f>
        <v>CSHESOL</v>
      </c>
      <c r="C18" t="str">
        <f>$B$2&amp;RIGHT(B18,3)</f>
        <v>COMSOL</v>
      </c>
      <c r="D18" t="str">
        <f t="shared" si="0"/>
        <v>DCSH</v>
      </c>
      <c r="E18" s="80">
        <f>'EB2'!$R$6*'EB2'!$R$24/(G18*H18)*1.01</f>
        <v>0.80067224759005573</v>
      </c>
      <c r="F18" s="85">
        <v>0.80</v>
      </c>
      <c r="G18" s="85">
        <v>0.30</v>
      </c>
      <c r="H18" s="87">
        <v>31.536000000000001</v>
      </c>
      <c r="I18" s="58">
        <v>15</v>
      </c>
      <c r="J18" s="7"/>
      <c r="K18" s="45">
        <f>E18*G18*H18</f>
        <v>7.5749999999999993</v>
      </c>
      <c r="M18" s="165"/>
      <c r="N18" s="165"/>
      <c r="O18" s="165" t="str">
        <f>LEFT($B$2)&amp;'EB2'!$C$21&amp;$I$2&amp;'EB2'!$R$2</f>
        <v>CSHESOL</v>
      </c>
      <c r="P18" s="170" t="str">
        <f>$D$2&amp;" "&amp;$C$2&amp;" Sector - "&amp;""&amp;$I$1&amp;" "&amp;'EB2'!$X$21&amp;" - "&amp;'EB2'!$R$3</f>
        <v>Demand Technologies Commercial Sector - Existing Space Heating - Solar energy</v>
      </c>
      <c r="Q18" s="165" t="str">
        <f t="shared" si="1"/>
        <v>PJ</v>
      </c>
      <c r="R18" s="165" t="str">
        <f t="shared" si="2"/>
        <v>PJa</v>
      </c>
      <c r="S18" s="165"/>
      <c r="T18" s="165"/>
      <c r="U18" s="165"/>
    </row>
    <row r="19" spans="2:21" ht="12.75">
      <c r="B19" s="31" t="str">
        <f t="shared" si="3"/>
        <v>CSHEELC</v>
      </c>
      <c r="C19" s="31" t="str">
        <f t="shared" si="4"/>
        <v>COMELC</v>
      </c>
      <c r="D19" s="31" t="str">
        <f t="shared" si="0"/>
        <v>DCSH</v>
      </c>
      <c r="E19" s="97">
        <f>'EB2'!$U$6*'EB2'!$U$24/(G19*H19)*1.01</f>
        <v>1.3490745550059191</v>
      </c>
      <c r="F19" s="130">
        <v>0.97</v>
      </c>
      <c r="G19" s="130">
        <v>0.30</v>
      </c>
      <c r="H19" s="131">
        <v>31.536000000000001</v>
      </c>
      <c r="I19" s="132">
        <v>15</v>
      </c>
      <c r="J19" s="7"/>
      <c r="K19" s="133">
        <f t="shared" si="5"/>
        <v>12.76332455</v>
      </c>
      <c r="M19" s="165"/>
      <c r="N19" s="165"/>
      <c r="O19" s="165" t="str">
        <f>LEFT($B$2)&amp;'EB2'!$C$21&amp;$I$2&amp;'EB2'!$U$2</f>
        <v>CSHEELC</v>
      </c>
      <c r="P19" s="170" t="str">
        <f>$D$2&amp;" "&amp;$C$2&amp;" Sector - "&amp;""&amp;$I$1&amp;" "&amp;'EB2'!$X$21&amp;" - "&amp;'EB2'!$U$3</f>
        <v>Demand Technologies Commercial Sector - Existing Space Heating - Electricity</v>
      </c>
      <c r="Q19" s="165" t="str">
        <f t="shared" si="1"/>
        <v>PJ</v>
      </c>
      <c r="R19" s="165" t="str">
        <f t="shared" si="2"/>
        <v>PJa</v>
      </c>
      <c r="S19" s="165"/>
      <c r="T19" s="165"/>
      <c r="U19" s="165"/>
    </row>
    <row r="20" spans="2:21" ht="12.75">
      <c r="B20" s="134" t="str">
        <f t="shared" si="3"/>
        <v>CAPEELC</v>
      </c>
      <c r="C20" s="134" t="str">
        <f t="shared" si="4"/>
        <v>COMELC</v>
      </c>
      <c r="D20" s="134" t="str">
        <f>$O$6</f>
        <v>DCAP</v>
      </c>
      <c r="E20" s="135">
        <f>'EB2'!$U$6*'EB2'!$U$25/(G20*H20)*1.01</f>
        <v>3828.9973650000006</v>
      </c>
      <c r="F20" s="136">
        <v>1</v>
      </c>
      <c r="G20" s="136">
        <v>0.30</v>
      </c>
      <c r="H20" s="147">
        <v>1</v>
      </c>
      <c r="I20" s="137">
        <v>5</v>
      </c>
      <c r="J20" s="7"/>
      <c r="K20" s="138">
        <f t="shared" si="5"/>
        <v>1148.6992095000001</v>
      </c>
      <c r="M20" s="171"/>
      <c r="N20" s="171"/>
      <c r="O20" s="171" t="str">
        <f>LEFT($B$2)&amp;'EB2'!$C$22&amp;$I$2&amp;'EB2'!$U$2</f>
        <v>CAPEELC</v>
      </c>
      <c r="P20" s="172" t="str">
        <f>$D$2&amp;" "&amp;$C$2&amp;" Sector - "&amp;""&amp;$I$1&amp;" "&amp;'EB2'!$X$22&amp;" - "&amp;'EB2'!$U$3</f>
        <v>Demand Technologies Commercial Sector - Existing Appliancens - Electricity</v>
      </c>
      <c r="Q20" s="171" t="str">
        <f t="shared" si="1"/>
        <v>PJ</v>
      </c>
      <c r="R20" s="171" t="str">
        <f t="shared" si="2"/>
        <v>PJa</v>
      </c>
      <c r="S20" s="171"/>
      <c r="T20" s="171"/>
      <c r="U20" s="171"/>
    </row>
    <row r="21" spans="2:21" ht="12.75">
      <c r="B21" t="str">
        <f t="shared" si="3"/>
        <v>COTECOA</v>
      </c>
      <c r="C21" t="str">
        <f t="shared" si="4"/>
        <v>COMCOA</v>
      </c>
      <c r="D21" t="str">
        <f>$O$7</f>
        <v>DCOT</v>
      </c>
      <c r="E21" s="80">
        <f>'EB2'!$D$6*'EB2'!$D$26/(G21*H21)*1.01</f>
        <v>67.076624999999993</v>
      </c>
      <c r="F21" s="85">
        <v>1</v>
      </c>
      <c r="G21" s="85">
        <v>0.30</v>
      </c>
      <c r="H21" s="148">
        <v>1</v>
      </c>
      <c r="I21" s="58">
        <v>10</v>
      </c>
      <c r="J21" s="7"/>
      <c r="K21" s="45">
        <f t="shared" si="5"/>
        <v>20.122987499999997</v>
      </c>
      <c r="M21" s="165"/>
      <c r="N21" s="165"/>
      <c r="O21" s="165" t="str">
        <f>LEFT($B$2)&amp;'EB2'!$C$23&amp;$I$2&amp;'EB2'!$D$2</f>
        <v>COTECOA</v>
      </c>
      <c r="P21" s="170" t="str">
        <f>$D$2&amp;" "&amp;$C$2&amp;" Sector - "&amp;""&amp;$I$1&amp;" "&amp;'EB2'!$X$23&amp;" - "&amp;'EB2'!$D$3</f>
        <v>Demand Technologies Commercial Sector - Existing Other - Solid Fuels</v>
      </c>
      <c r="Q21" s="165" t="str">
        <f t="shared" si="1"/>
        <v>PJ</v>
      </c>
      <c r="R21" s="165" t="str">
        <f t="shared" si="2"/>
        <v>PJa</v>
      </c>
      <c r="S21" s="165"/>
      <c r="T21" s="165"/>
      <c r="U21" s="165"/>
    </row>
    <row r="22" spans="2:21" ht="12.75">
      <c r="B22" t="str">
        <f t="shared" si="3"/>
        <v>COTEGAS</v>
      </c>
      <c r="C22" t="str">
        <f t="shared" si="4"/>
        <v>COMGAS</v>
      </c>
      <c r="D22" t="str">
        <f>$O$7</f>
        <v>DCOT</v>
      </c>
      <c r="E22" s="80">
        <f>'EB2'!$E$6*'EB2'!$E$26/(G22*H22)*1.01</f>
        <v>353.84945999999997</v>
      </c>
      <c r="F22" s="85">
        <v>1</v>
      </c>
      <c r="G22" s="85">
        <v>0.30</v>
      </c>
      <c r="H22" s="148">
        <v>1</v>
      </c>
      <c r="I22" s="58">
        <v>10</v>
      </c>
      <c r="K22" s="45">
        <f t="shared" si="5"/>
        <v>106.15483799999998</v>
      </c>
      <c r="M22" s="165"/>
      <c r="N22" s="165"/>
      <c r="O22" s="165" t="str">
        <f>LEFT($B$2)&amp;'EB2'!$C$23&amp;$I$2&amp;'EB2'!$E$2</f>
        <v>COTEGAS</v>
      </c>
      <c r="P22" s="170" t="str">
        <f>$D$2&amp;" "&amp;$C$2&amp;" Sector - "&amp;""&amp;$I$1&amp;" "&amp;'EB2'!$X$23&amp;" - "&amp;'EB2'!$E$3</f>
        <v>Demand Technologies Commercial Sector - Existing Other - Natural Gas</v>
      </c>
      <c r="Q22" s="165" t="str">
        <f t="shared" si="1"/>
        <v>PJ</v>
      </c>
      <c r="R22" s="165" t="str">
        <f t="shared" si="2"/>
        <v>PJa</v>
      </c>
      <c r="S22" s="165"/>
      <c r="T22" s="165"/>
      <c r="U22" s="165"/>
    </row>
    <row r="23" spans="2:21" ht="12.75">
      <c r="B23" t="str">
        <f t="shared" si="3"/>
        <v>COTEOIL</v>
      </c>
      <c r="C23" t="str">
        <f t="shared" si="4"/>
        <v>COMOIL</v>
      </c>
      <c r="D23" t="str">
        <f>$O$7</f>
        <v>DCOT</v>
      </c>
      <c r="E23" s="80">
        <f>SUM('EB2'!$G$6:$J$6,'EB2'!$L$6:$M$6)*'EB2'!$G$26/(G23*H23)*1.01</f>
        <v>143.89301666666665</v>
      </c>
      <c r="F23" s="85">
        <v>1</v>
      </c>
      <c r="G23" s="85">
        <v>0.30</v>
      </c>
      <c r="H23" s="148">
        <v>1</v>
      </c>
      <c r="I23" s="58">
        <v>10</v>
      </c>
      <c r="K23" s="45">
        <f t="shared" si="5"/>
        <v>43.167904999999998</v>
      </c>
      <c r="M23" s="165"/>
      <c r="N23" s="165"/>
      <c r="O23" s="165" t="str">
        <f>LEFT($B$2)&amp;'EB2'!$C$23&amp;$I$2&amp;'EB2'!$F$2</f>
        <v>COTEOIL</v>
      </c>
      <c r="P23" s="170" t="str">
        <f>$D$2&amp;" "&amp;$C$2&amp;" Sector - "&amp;""&amp;$I$1&amp;" "&amp;'EB2'!$X$23&amp;" - "&amp;RIGHT('EB2'!$F$3,3)</f>
        <v>Demand Technologies Commercial Sector - Existing Other - oil</v>
      </c>
      <c r="Q23" s="165" t="str">
        <f t="shared" si="1"/>
        <v>PJ</v>
      </c>
      <c r="R23" s="165" t="str">
        <f t="shared" si="2"/>
        <v>PJa</v>
      </c>
      <c r="S23" s="165"/>
      <c r="T23" s="165"/>
      <c r="U23" s="165"/>
    </row>
    <row r="24" spans="2:21" ht="12.75">
      <c r="B24" t="str">
        <f t="shared" si="3"/>
        <v>COTEBIO</v>
      </c>
      <c r="C24" t="str">
        <f t="shared" si="4"/>
        <v>COMBIO</v>
      </c>
      <c r="D24" t="str">
        <f>$O$7</f>
        <v>DCOT</v>
      </c>
      <c r="E24" s="80">
        <f>'EB2'!$O$6*'EB2'!$O$26/(G24*H24)*1.01</f>
        <v>4.376666666666666</v>
      </c>
      <c r="F24" s="85">
        <v>1</v>
      </c>
      <c r="G24" s="85">
        <v>0.30</v>
      </c>
      <c r="H24" s="148">
        <v>1</v>
      </c>
      <c r="I24" s="58">
        <v>10</v>
      </c>
      <c r="K24" s="45">
        <f t="shared" si="5"/>
        <v>1.3129999999999997</v>
      </c>
      <c r="M24" s="165"/>
      <c r="N24" s="165"/>
      <c r="O24" s="165" t="str">
        <f>LEFT($B$2)&amp;'EB2'!$C$23&amp;$I$2&amp;'EB2'!$O$2</f>
        <v>COTEBIO</v>
      </c>
      <c r="P24" s="170" t="str">
        <f>$D$2&amp;" "&amp;$C$2&amp;" Sector - "&amp;""&amp;$I$1&amp;" "&amp;'EB2'!$X$23&amp;" - "&amp;'EB2'!$O$3</f>
        <v>Demand Technologies Commercial Sector - Existing Other - Biomass</v>
      </c>
      <c r="Q24" s="165" t="str">
        <f t="shared" si="1"/>
        <v>PJ</v>
      </c>
      <c r="R24" s="165" t="str">
        <f t="shared" si="2"/>
        <v>PJa</v>
      </c>
      <c r="S24" s="165"/>
      <c r="T24" s="165"/>
      <c r="U24" s="165"/>
    </row>
    <row r="25" spans="2:21" ht="12.75">
      <c r="B25" t="str">
        <f t="shared" si="3"/>
        <v>COTEELC</v>
      </c>
      <c r="C25" t="str">
        <f t="shared" si="4"/>
        <v>COMELC</v>
      </c>
      <c r="D25" t="str">
        <f>$O$7</f>
        <v>DCOT</v>
      </c>
      <c r="E25" s="98">
        <f>'EB2'!$U$6*'EB2'!$U$26/(G25*H25)*1.01</f>
        <v>382.8997364999999</v>
      </c>
      <c r="F25" s="85">
        <v>1</v>
      </c>
      <c r="G25" s="85">
        <v>0.30</v>
      </c>
      <c r="H25" s="148">
        <v>1</v>
      </c>
      <c r="I25" s="58">
        <v>10</v>
      </c>
      <c r="K25" s="45">
        <f t="shared" si="5"/>
        <v>114.86992094999997</v>
      </c>
      <c r="M25" s="165"/>
      <c r="N25" s="165"/>
      <c r="O25" s="165" t="str">
        <f>LEFT($B$2)&amp;'EB2'!$C$23&amp;$I$2&amp;'EB2'!$U$2</f>
        <v>COTEELC</v>
      </c>
      <c r="P25" s="170" t="str">
        <f>$D$2&amp;" "&amp;$C$2&amp;" Sector - "&amp;""&amp;$I$1&amp;" "&amp;'EB2'!$X$23&amp;" - "&amp;'EB2'!$U$3</f>
        <v>Demand Technologies Commercial Sector - Existing Other - Electricity</v>
      </c>
      <c r="Q25" s="165" t="str">
        <f t="shared" si="1"/>
        <v>PJ</v>
      </c>
      <c r="R25" s="165" t="str">
        <f t="shared" si="2"/>
        <v>PJa</v>
      </c>
      <c r="S25" s="165"/>
      <c r="T25" s="165"/>
      <c r="U25" s="165"/>
    </row>
    <row r="26" spans="5:21" ht="12.75">
      <c r="E26" s="23"/>
      <c r="F26" s="21"/>
      <c r="G26" s="21"/>
      <c r="H26" s="21"/>
      <c r="M26" s="5"/>
      <c r="N26" s="5"/>
      <c r="O26" s="5"/>
      <c r="P26" s="99"/>
      <c r="Q26" s="5"/>
      <c r="R26" s="5"/>
      <c r="S26" s="5"/>
      <c r="T26" s="5"/>
      <c r="U26" s="5"/>
    </row>
    <row r="27" spans="5:21" ht="12.75">
      <c r="E27" s="9"/>
      <c r="F27" s="21"/>
      <c r="G27" s="21"/>
      <c r="H27" s="21"/>
      <c r="M27" s="5"/>
      <c r="N27" s="5"/>
      <c r="O27" s="5"/>
      <c r="P27" s="26"/>
      <c r="Q27" s="5"/>
      <c r="R27" s="5"/>
      <c r="S27" s="5"/>
      <c r="T27" s="5"/>
      <c r="U27" s="5"/>
    </row>
    <row r="28" spans="2:21" ht="12.75">
      <c r="B28" s="7"/>
      <c r="D28" s="7"/>
      <c r="E28" s="23"/>
      <c r="F28" s="24"/>
      <c r="G28" s="24"/>
      <c r="H28" s="24"/>
      <c r="I28" s="7"/>
      <c r="M28" s="5"/>
      <c r="N28" s="5"/>
      <c r="O28" s="5"/>
      <c r="P28" s="26"/>
      <c r="Q28" s="5"/>
      <c r="R28" s="5"/>
      <c r="S28" s="5"/>
      <c r="T28" s="5"/>
      <c r="U28" s="5"/>
    </row>
    <row r="29" spans="2:21" ht="12.75">
      <c r="B29" s="7"/>
      <c r="E29" s="23"/>
      <c r="F29" s="24"/>
      <c r="G29" s="24"/>
      <c r="H29" s="24"/>
      <c r="I29" s="7"/>
      <c r="M29" s="5"/>
      <c r="N29" s="5"/>
      <c r="O29" s="5"/>
      <c r="P29" s="26"/>
      <c r="Q29" s="5"/>
      <c r="R29" s="5"/>
      <c r="S29" s="5"/>
      <c r="T29" s="5"/>
      <c r="U29" s="5"/>
    </row>
    <row r="30" spans="13:21" ht="12.75">
      <c r="M30" s="5"/>
      <c r="N30" s="5"/>
      <c r="O30" s="5"/>
      <c r="P30" s="5"/>
      <c r="Q30" s="5"/>
      <c r="R30" s="5"/>
      <c r="S30" s="5"/>
      <c r="T30" s="5"/>
      <c r="U30" s="5"/>
    </row>
    <row r="31" spans="13:21" ht="12.75">
      <c r="M31" s="5"/>
      <c r="N31" s="5"/>
      <c r="O31" s="5"/>
      <c r="P31" s="5"/>
      <c r="Q31" s="5"/>
      <c r="R31" s="5"/>
      <c r="S31" s="5"/>
      <c r="T31" s="5"/>
      <c r="U31" s="5"/>
    </row>
    <row r="32" spans="13:21" ht="12.75">
      <c r="M32" s="5"/>
      <c r="N32" s="5"/>
      <c r="O32" s="5"/>
      <c r="P32" s="5"/>
      <c r="Q32" s="5"/>
      <c r="R32" s="5"/>
      <c r="S32" s="5"/>
      <c r="T32" s="5"/>
      <c r="U32" s="5"/>
    </row>
    <row r="33" spans="13:21" ht="12.75">
      <c r="M33" s="5"/>
      <c r="N33" s="5"/>
      <c r="O33" s="5"/>
      <c r="P33" s="5"/>
      <c r="Q33" s="5"/>
      <c r="R33" s="5"/>
      <c r="S33" s="5"/>
      <c r="T33" s="5"/>
      <c r="U33" s="5"/>
    </row>
    <row r="34" spans="13:21" ht="12.75">
      <c r="M34" s="5"/>
      <c r="N34" s="5"/>
      <c r="O34" s="5"/>
      <c r="P34" s="5"/>
      <c r="Q34" s="5"/>
      <c r="R34" s="5"/>
      <c r="S34" s="5"/>
      <c r="T34" s="5"/>
      <c r="U34" s="5"/>
    </row>
    <row r="35" spans="13:21" ht="12.75">
      <c r="M35" s="5"/>
      <c r="N35" s="5"/>
      <c r="O35" s="5"/>
      <c r="P35" s="5"/>
      <c r="Q35" s="5"/>
      <c r="R35" s="5"/>
      <c r="S35" s="5"/>
      <c r="T35" s="5"/>
      <c r="U35" s="5"/>
    </row>
    <row r="36" spans="13:21" ht="12.75">
      <c r="M36" s="5"/>
      <c r="N36" s="5"/>
      <c r="O36" s="5"/>
      <c r="P36" s="5"/>
      <c r="Q36" s="5"/>
      <c r="R36" s="5"/>
      <c r="S36" s="5"/>
      <c r="T36" s="5"/>
      <c r="U36" s="5"/>
    </row>
    <row r="37" spans="2:3" ht="12.75">
      <c r="B37" s="58"/>
      <c r="C37" s="1" t="s">
        <v>156</v>
      </c>
    </row>
    <row r="38" spans="2:3" ht="12.75">
      <c r="B38" s="81"/>
      <c r="C38" s="1" t="s">
        <v>157</v>
      </c>
    </row>
    <row r="39" spans="10:12" ht="12.75">
      <c r="J39" s="1"/>
      <c r="K39" s="1"/>
      <c r="L39" s="10"/>
    </row>
    <row r="40" spans="10:12" ht="12.75">
      <c r="J40" s="1"/>
      <c r="K40" s="1"/>
      <c r="L40" s="10"/>
    </row>
    <row r="41" spans="10:12" ht="12.75">
      <c r="J41" s="1"/>
      <c r="K41" s="1"/>
      <c r="L41" s="10"/>
    </row>
    <row r="42" spans="10:12" ht="12.75">
      <c r="J42" s="1"/>
      <c r="K42" s="1"/>
      <c r="L42" s="10"/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R42"/>
  <sheetViews>
    <sheetView workbookViewId="0" topLeftCell="A1">
      <selection pane="topLeft" activeCell="H27" sqref="H27"/>
    </sheetView>
  </sheetViews>
  <sheetFormatPr defaultRowHeight="12.75"/>
  <cols>
    <col min="1" max="1" width="3" customWidth="1"/>
    <col min="2" max="2" width="13.5714285714286" bestFit="1" customWidth="1"/>
    <col min="3" max="3" width="13.1428571428571" bestFit="1" customWidth="1"/>
    <col min="4" max="4" width="11.8571428571429" bestFit="1" customWidth="1"/>
    <col min="5" max="5" width="11.5714285714286" bestFit="1" customWidth="1"/>
    <col min="6" max="6" width="13" bestFit="1" customWidth="1"/>
    <col min="7" max="7" width="8.28571428571429" bestFit="1" customWidth="1"/>
    <col min="8" max="8" width="9" customWidth="1"/>
    <col min="9" max="9" width="2.14285714285714" bestFit="1" customWidth="1"/>
    <col min="10" max="10" width="12.4285714285714" customWidth="1"/>
    <col min="11" max="11" width="7.14285714285714" customWidth="1"/>
    <col min="12" max="12" width="14.5714285714286" bestFit="1" customWidth="1"/>
    <col min="13" max="13" width="63" customWidth="1"/>
    <col min="14" max="14" width="6.14285714285714" customWidth="1"/>
    <col min="15" max="15" width="10.4285714285714" bestFit="1" customWidth="1"/>
    <col min="16" max="16" width="12.8571428571429" bestFit="1" customWidth="1"/>
    <col min="17" max="17" width="14.1428571428571" bestFit="1" customWidth="1"/>
    <col min="18" max="18" width="8.14285714285714" customWidth="1"/>
  </cols>
  <sheetData>
    <row r="1" spans="2:8" ht="15">
      <c r="B1" s="11" t="s">
        <v>73</v>
      </c>
      <c r="C1" s="11" t="s">
        <v>74</v>
      </c>
      <c r="D1" s="11" t="s">
        <v>75</v>
      </c>
      <c r="E1" s="11" t="s">
        <v>117</v>
      </c>
      <c r="F1" s="11" t="s">
        <v>94</v>
      </c>
      <c r="G1" s="11" t="s">
        <v>99</v>
      </c>
      <c r="H1" s="46"/>
    </row>
    <row r="2" spans="2:18" ht="15.75">
      <c r="B2" s="13" t="str">
        <f>'EB2'!B5</f>
        <v>RSD</v>
      </c>
      <c r="C2" s="13" t="str">
        <f>'EB2'!C5</f>
        <v>Residential</v>
      </c>
      <c r="D2" s="13" t="s">
        <v>115</v>
      </c>
      <c r="E2" s="13" t="str">
        <f>'EB2'!Z2</f>
        <v>PJ</v>
      </c>
      <c r="F2" s="13" t="str">
        <f>'EB2'!Y2</f>
        <v>M€2005</v>
      </c>
      <c r="G2" s="13" t="s">
        <v>100</v>
      </c>
      <c r="H2" s="12"/>
      <c r="J2" s="160" t="s">
        <v>14</v>
      </c>
      <c r="K2" s="160"/>
      <c r="L2" s="161"/>
      <c r="M2" s="161"/>
      <c r="N2" s="161"/>
      <c r="O2" s="161"/>
      <c r="P2" s="161"/>
      <c r="Q2" s="161"/>
      <c r="R2" s="161"/>
    </row>
    <row r="3" spans="10:18" ht="12.75">
      <c r="J3" s="162" t="s">
        <v>7</v>
      </c>
      <c r="K3" s="163" t="s">
        <v>30</v>
      </c>
      <c r="L3" s="162" t="s">
        <v>0</v>
      </c>
      <c r="M3" s="162" t="s">
        <v>3</v>
      </c>
      <c r="N3" s="162" t="s">
        <v>4</v>
      </c>
      <c r="O3" s="162" t="s">
        <v>8</v>
      </c>
      <c r="P3" s="162" t="s">
        <v>9</v>
      </c>
      <c r="Q3" s="162" t="s">
        <v>10</v>
      </c>
      <c r="R3" s="162" t="s">
        <v>12</v>
      </c>
    </row>
    <row r="4" spans="2:18" s="5" customFormat="1" ht="24" thickBot="1">
      <c r="B4" s="12"/>
      <c r="C4" s="12"/>
      <c r="D4" s="12"/>
      <c r="E4" s="12"/>
      <c r="G4" s="12"/>
      <c r="J4" s="164" t="s">
        <v>37</v>
      </c>
      <c r="K4" s="164" t="s">
        <v>31</v>
      </c>
      <c r="L4" s="164" t="s">
        <v>26</v>
      </c>
      <c r="M4" s="164" t="s">
        <v>27</v>
      </c>
      <c r="N4" s="164" t="s">
        <v>4</v>
      </c>
      <c r="O4" s="164" t="s">
        <v>40</v>
      </c>
      <c r="P4" s="164" t="s">
        <v>41</v>
      </c>
      <c r="Q4" s="164" t="s">
        <v>28</v>
      </c>
      <c r="R4" s="164" t="s">
        <v>29</v>
      </c>
    </row>
    <row r="5" spans="2:18" ht="12.75">
      <c r="B5" s="7"/>
      <c r="C5" s="7"/>
      <c r="D5" s="7"/>
      <c r="E5" s="15"/>
      <c r="F5" s="15"/>
      <c r="G5" s="89"/>
      <c r="H5" s="14"/>
      <c r="J5" s="165" t="s">
        <v>72</v>
      </c>
      <c r="K5" s="165"/>
      <c r="L5" s="165" t="str">
        <f>$B$2&amp;'EB2'!$D$2</f>
        <v>RSDCOA</v>
      </c>
      <c r="M5" s="166" t="str">
        <f>$C$2&amp;" "&amp;'EB2'!$D$3</f>
        <v>Residential Solid Fuels</v>
      </c>
      <c r="N5" s="165" t="str">
        <f t="shared" si="0" ref="N5:N10">$E$2</f>
        <v>PJ</v>
      </c>
      <c r="O5" s="165"/>
      <c r="P5" s="165"/>
      <c r="Q5" s="165"/>
      <c r="R5" s="165"/>
    </row>
    <row r="6" spans="2:18" ht="12.75">
      <c r="B6" s="7"/>
      <c r="C6" s="7"/>
      <c r="D6" s="7"/>
      <c r="E6" s="15"/>
      <c r="F6" s="15"/>
      <c r="G6" s="89"/>
      <c r="H6" s="14"/>
      <c r="J6" s="165"/>
      <c r="K6" s="165"/>
      <c r="L6" s="165" t="str">
        <f>$B$2&amp;'EB2'!$E$2</f>
        <v>RSDGAS</v>
      </c>
      <c r="M6" s="166" t="str">
        <f>$C$2&amp;" "&amp;'EB2'!$E$3</f>
        <v>Residential Natural Gas</v>
      </c>
      <c r="N6" s="165" t="str">
        <f t="shared" si="0"/>
        <v>PJ</v>
      </c>
      <c r="O6" s="165"/>
      <c r="P6" s="165"/>
      <c r="Q6" s="165"/>
      <c r="R6" s="165"/>
    </row>
    <row r="7" spans="2:18" ht="12.75">
      <c r="B7" s="7"/>
      <c r="C7" s="7"/>
      <c r="D7" s="7"/>
      <c r="E7" s="15"/>
      <c r="F7" s="15"/>
      <c r="G7" s="89"/>
      <c r="H7" s="14"/>
      <c r="J7" s="165"/>
      <c r="K7" s="165"/>
      <c r="L7" s="165" t="str">
        <f>$B$2&amp;'EB2'!$F$2</f>
        <v>RSDOIL</v>
      </c>
      <c r="M7" s="166" t="str">
        <f>$C$2&amp;" "&amp;RIGHT('EB2'!$F$3,3)</f>
        <v>Residential oil</v>
      </c>
      <c r="N7" s="165" t="str">
        <f t="shared" si="0"/>
        <v>PJ</v>
      </c>
      <c r="O7" s="165"/>
      <c r="P7" s="165"/>
      <c r="Q7" s="165"/>
      <c r="R7" s="165"/>
    </row>
    <row r="8" spans="2:18" ht="12.75">
      <c r="B8" s="7"/>
      <c r="C8" s="7"/>
      <c r="D8" s="7"/>
      <c r="E8" s="15"/>
      <c r="F8" s="15"/>
      <c r="G8" s="89"/>
      <c r="H8" s="14"/>
      <c r="J8" s="165"/>
      <c r="K8" s="165"/>
      <c r="L8" s="165" t="str">
        <f>$B$2&amp;'EB2'!$O$2</f>
        <v>RSDBIO</v>
      </c>
      <c r="M8" s="166" t="str">
        <f>$C$2&amp;" "&amp;'EB2'!$O$3</f>
        <v>Residential Biomass</v>
      </c>
      <c r="N8" s="165" t="str">
        <f t="shared" si="0"/>
        <v>PJ</v>
      </c>
      <c r="O8" s="165"/>
      <c r="P8" s="165"/>
      <c r="Q8" s="165"/>
      <c r="R8" s="165"/>
    </row>
    <row r="9" spans="2:18" ht="12.75">
      <c r="B9" s="7"/>
      <c r="C9" s="7"/>
      <c r="D9" s="7"/>
      <c r="E9" s="15"/>
      <c r="F9" s="15"/>
      <c r="G9" s="89"/>
      <c r="H9" s="14"/>
      <c r="J9" s="165"/>
      <c r="K9" s="165"/>
      <c r="L9" s="165" t="str">
        <f>$B$2&amp;'EB2'!$R$2</f>
        <v>RSDSOL</v>
      </c>
      <c r="M9" s="166" t="str">
        <f>$C$2&amp;" "&amp;'EB2'!$R$3</f>
        <v>Residential Solar energy</v>
      </c>
      <c r="N9" s="165" t="str">
        <f t="shared" si="0"/>
        <v>PJ</v>
      </c>
      <c r="O9" s="167"/>
      <c r="P9" s="167"/>
      <c r="Q9" s="167"/>
      <c r="R9" s="167"/>
    </row>
    <row r="10" spans="2:18" ht="12.75">
      <c r="B10" s="7"/>
      <c r="C10" s="7"/>
      <c r="D10" s="7"/>
      <c r="E10" s="15"/>
      <c r="F10" s="15"/>
      <c r="G10" s="89"/>
      <c r="H10" s="14"/>
      <c r="J10" s="165"/>
      <c r="K10" s="165"/>
      <c r="L10" s="165" t="str">
        <f>$B$2&amp;'EB2'!$U$2</f>
        <v>RSDELC</v>
      </c>
      <c r="M10" s="166" t="str">
        <f>$C$2&amp;" "&amp;'EB2'!$U$3</f>
        <v>Residential Electricity</v>
      </c>
      <c r="N10" s="165" t="str">
        <f t="shared" si="0"/>
        <v>PJ</v>
      </c>
      <c r="O10" s="165"/>
      <c r="P10" s="165" t="s">
        <v>130</v>
      </c>
      <c r="Q10" s="165"/>
      <c r="R10" s="165" t="s">
        <v>50</v>
      </c>
    </row>
    <row r="11" spans="12:13" ht="12.75">
      <c r="L11" s="36"/>
      <c r="M11" s="38"/>
    </row>
    <row r="12" spans="4:18" ht="12.75">
      <c r="D12" s="4" t="s">
        <v>13</v>
      </c>
      <c r="E12" s="4"/>
      <c r="F12" s="4"/>
      <c r="J12" s="160" t="s">
        <v>15</v>
      </c>
      <c r="K12" s="160"/>
      <c r="L12" s="167"/>
      <c r="M12" s="167"/>
      <c r="N12" s="167"/>
      <c r="O12" s="167"/>
      <c r="P12" s="167"/>
      <c r="Q12" s="167"/>
      <c r="R12" s="167"/>
    </row>
    <row r="13" spans="2:18" ht="12.75">
      <c r="B13" s="22" t="s">
        <v>1</v>
      </c>
      <c r="C13" s="22" t="s">
        <v>5</v>
      </c>
      <c r="D13" s="22" t="s">
        <v>6</v>
      </c>
      <c r="E13" s="95" t="s">
        <v>152</v>
      </c>
      <c r="F13" s="92" t="s">
        <v>132</v>
      </c>
      <c r="G13" s="92" t="s">
        <v>84</v>
      </c>
      <c r="H13" s="92" t="s">
        <v>79</v>
      </c>
      <c r="J13" s="162" t="s">
        <v>11</v>
      </c>
      <c r="K13" s="163" t="s">
        <v>30</v>
      </c>
      <c r="L13" s="162" t="s">
        <v>1</v>
      </c>
      <c r="M13" s="162" t="s">
        <v>2</v>
      </c>
      <c r="N13" s="162" t="s">
        <v>16</v>
      </c>
      <c r="O13" s="162" t="s">
        <v>17</v>
      </c>
      <c r="P13" s="162" t="s">
        <v>18</v>
      </c>
      <c r="Q13" s="162" t="s">
        <v>19</v>
      </c>
      <c r="R13" s="162" t="s">
        <v>20</v>
      </c>
    </row>
    <row r="14" spans="2:18" ht="23.25" thickBot="1">
      <c r="B14" s="20" t="s">
        <v>39</v>
      </c>
      <c r="C14" s="20" t="s">
        <v>32</v>
      </c>
      <c r="D14" s="20" t="s">
        <v>33</v>
      </c>
      <c r="E14" s="20" t="s">
        <v>151</v>
      </c>
      <c r="F14" s="20" t="s">
        <v>34</v>
      </c>
      <c r="G14" s="20" t="s">
        <v>89</v>
      </c>
      <c r="H14" s="20" t="s">
        <v>174</v>
      </c>
      <c r="J14" s="164" t="s">
        <v>38</v>
      </c>
      <c r="K14" s="164" t="s">
        <v>31</v>
      </c>
      <c r="L14" s="164" t="s">
        <v>21</v>
      </c>
      <c r="M14" s="164" t="s">
        <v>22</v>
      </c>
      <c r="N14" s="164" t="s">
        <v>23</v>
      </c>
      <c r="O14" s="164" t="s">
        <v>24</v>
      </c>
      <c r="P14" s="164" t="s">
        <v>43</v>
      </c>
      <c r="Q14" s="164" t="s">
        <v>42</v>
      </c>
      <c r="R14" s="164" t="s">
        <v>25</v>
      </c>
    </row>
    <row r="15" spans="2:18" ht="13.5" thickBot="1">
      <c r="B15" s="19" t="s">
        <v>90</v>
      </c>
      <c r="C15" s="19"/>
      <c r="D15" s="19"/>
      <c r="E15" s="17"/>
      <c r="F15" s="17" t="str">
        <f>E2&amp;"a"</f>
        <v>PJa</v>
      </c>
      <c r="G15" s="17"/>
      <c r="H15" s="17" t="s">
        <v>91</v>
      </c>
      <c r="J15" s="164" t="s">
        <v>81</v>
      </c>
      <c r="K15" s="168"/>
      <c r="L15" s="168"/>
      <c r="M15" s="168"/>
      <c r="N15" s="168"/>
      <c r="O15" s="168"/>
      <c r="P15" s="168"/>
      <c r="Q15" s="168"/>
      <c r="R15" s="168"/>
    </row>
    <row r="16" spans="2:18" ht="12.75">
      <c r="B16" t="str">
        <f>L16</f>
        <v>FTE-RSDCOA</v>
      </c>
      <c r="C16" t="str">
        <f>RIGHT(D16,3)</f>
        <v>COA</v>
      </c>
      <c r="D16" t="str">
        <f>L5</f>
        <v>RSDCOA</v>
      </c>
      <c r="E16" s="15"/>
      <c r="F16" s="15"/>
      <c r="G16" s="83">
        <v>1</v>
      </c>
      <c r="H16" s="84">
        <v>30</v>
      </c>
      <c r="J16" s="169" t="s">
        <v>116</v>
      </c>
      <c r="K16" s="165"/>
      <c r="L16" s="165" t="str">
        <f t="shared" si="1" ref="L16:L21">"FT"&amp;$G$2&amp;"-"&amp;L5</f>
        <v>FTE-RSDCOA</v>
      </c>
      <c r="M16" s="166" t="str">
        <f t="shared" si="2" ref="M16:M21">$D$2&amp;" Technology"&amp;" "&amp;$G$1&amp;" "&amp;M5</f>
        <v>Sector Fuel Technology Existing Residential Solid Fuels</v>
      </c>
      <c r="N16" s="165" t="str">
        <f t="shared" si="3" ref="N16:N21">$E$2</f>
        <v>PJ</v>
      </c>
      <c r="O16" s="165" t="str">
        <f t="shared" si="4" ref="O16:O21">$E$2&amp;"a"</f>
        <v>PJa</v>
      </c>
      <c r="P16" s="165"/>
      <c r="Q16" s="165"/>
      <c r="R16" s="165"/>
    </row>
    <row r="17" spans="2:18" ht="12.75">
      <c r="B17" t="str">
        <f>L17</f>
        <v>FTE-RSDGAS</v>
      </c>
      <c r="C17" t="str">
        <f>RIGHT(D17,3)</f>
        <v>GAS</v>
      </c>
      <c r="D17" t="str">
        <f>L6</f>
        <v>RSDGAS</v>
      </c>
      <c r="E17" s="15"/>
      <c r="F17" s="15"/>
      <c r="G17" s="83">
        <v>1</v>
      </c>
      <c r="H17" s="84">
        <v>30</v>
      </c>
      <c r="J17" s="165"/>
      <c r="K17" s="165"/>
      <c r="L17" s="165" t="str">
        <f t="shared" si="1"/>
        <v>FTE-RSDGAS</v>
      </c>
      <c r="M17" s="166" t="str">
        <f t="shared" si="2"/>
        <v>Sector Fuel Technology Existing Residential Natural Gas</v>
      </c>
      <c r="N17" s="165" t="str">
        <f t="shared" si="3"/>
        <v>PJ</v>
      </c>
      <c r="O17" s="165" t="str">
        <f t="shared" si="4"/>
        <v>PJa</v>
      </c>
      <c r="P17" s="165"/>
      <c r="Q17" s="165"/>
      <c r="R17" s="165"/>
    </row>
    <row r="18" spans="2:18" ht="12.75">
      <c r="B18" t="str">
        <f>L18</f>
        <v>FTE-RSDOIL</v>
      </c>
      <c r="C18" t="str">
        <f>'EB2'!$G$2</f>
        <v>DSL</v>
      </c>
      <c r="D18" t="str">
        <f>L7</f>
        <v>RSDOIL</v>
      </c>
      <c r="E18" s="146">
        <f>'EB2'!$G$5/SUM('EB2'!$G$5:$J$5,'EB2'!$L$5:$M$5)*1.01</f>
        <v>0.76064840105657072</v>
      </c>
      <c r="F18" s="5"/>
      <c r="G18" s="83">
        <v>1</v>
      </c>
      <c r="H18" s="84">
        <v>30</v>
      </c>
      <c r="J18" s="165"/>
      <c r="K18" s="165"/>
      <c r="L18" s="165" t="str">
        <f t="shared" si="1"/>
        <v>FTE-RSDOIL</v>
      </c>
      <c r="M18" s="166" t="str">
        <f t="shared" si="2"/>
        <v>Sector Fuel Technology Existing Residential oil</v>
      </c>
      <c r="N18" s="165" t="str">
        <f t="shared" si="3"/>
        <v>PJ</v>
      </c>
      <c r="O18" s="165" t="str">
        <f t="shared" si="4"/>
        <v>PJa</v>
      </c>
      <c r="P18" s="165"/>
      <c r="Q18" s="165"/>
      <c r="R18" s="165"/>
    </row>
    <row r="19" spans="3:18" ht="12.75">
      <c r="C19" t="str">
        <f>'EB2'!$H$2</f>
        <v>KER</v>
      </c>
      <c r="E19" s="146">
        <f>'EB2'!$H$5/SUM('EB2'!$G$5:$J$5,'EB2'!$L$5:$M$5)*1.01</f>
        <v>0.064368339919791837</v>
      </c>
      <c r="F19" s="15"/>
      <c r="G19" s="89"/>
      <c r="H19" s="14"/>
      <c r="J19" s="165"/>
      <c r="K19" s="165"/>
      <c r="L19" s="165" t="str">
        <f t="shared" si="1"/>
        <v>FTE-RSDBIO</v>
      </c>
      <c r="M19" s="166" t="str">
        <f t="shared" si="2"/>
        <v>Sector Fuel Technology Existing Residential Biomass</v>
      </c>
      <c r="N19" s="165" t="str">
        <f t="shared" si="3"/>
        <v>PJ</v>
      </c>
      <c r="O19" s="165" t="str">
        <f t="shared" si="4"/>
        <v>PJa</v>
      </c>
      <c r="P19" s="165"/>
      <c r="Q19" s="165"/>
      <c r="R19" s="165"/>
    </row>
    <row r="20" spans="3:18" ht="12.75">
      <c r="C20" t="str">
        <f>'EB2'!$I$2</f>
        <v>LPG</v>
      </c>
      <c r="E20" s="146">
        <f>'EB2'!$I$5/SUM('EB2'!$G$5:$J$5,'EB2'!$L$5:$M$5)*1.01</f>
        <v>0.16780530932475657</v>
      </c>
      <c r="F20" s="15"/>
      <c r="G20" s="89"/>
      <c r="H20" s="14"/>
      <c r="J20" s="165"/>
      <c r="K20" s="165"/>
      <c r="L20" s="165" t="str">
        <f t="shared" si="1"/>
        <v>FTE-RSDSOL</v>
      </c>
      <c r="M20" s="166" t="str">
        <f t="shared" si="2"/>
        <v>Sector Fuel Technology Existing Residential Solar energy</v>
      </c>
      <c r="N20" s="165" t="str">
        <f t="shared" si="3"/>
        <v>PJ</v>
      </c>
      <c r="O20" s="165" t="str">
        <f t="shared" si="4"/>
        <v>PJa</v>
      </c>
      <c r="P20" s="167"/>
      <c r="Q20" s="165"/>
      <c r="R20" s="165"/>
    </row>
    <row r="21" spans="3:18" ht="12.75">
      <c r="C21" t="str">
        <f>'EB2'!$J$2</f>
        <v>GSL</v>
      </c>
      <c r="E21" s="146">
        <f>'EB2'!$J$5/SUM('EB2'!$G$5:$J$5,'EB2'!$L$5:$M$5)*1.01</f>
        <v>0.0027953433658339058</v>
      </c>
      <c r="F21" s="15"/>
      <c r="G21" s="89"/>
      <c r="H21" s="14"/>
      <c r="J21" s="165"/>
      <c r="K21" s="165"/>
      <c r="L21" s="165" t="str">
        <f t="shared" si="1"/>
        <v>FTE-RSDELC</v>
      </c>
      <c r="M21" s="166" t="str">
        <f t="shared" si="2"/>
        <v>Sector Fuel Technology Existing Residential Electricity</v>
      </c>
      <c r="N21" s="165" t="str">
        <f t="shared" si="3"/>
        <v>PJ</v>
      </c>
      <c r="O21" s="165" t="str">
        <f t="shared" si="4"/>
        <v>PJa</v>
      </c>
      <c r="P21" s="165" t="s">
        <v>130</v>
      </c>
      <c r="Q21" s="165"/>
      <c r="R21" s="165"/>
    </row>
    <row r="22" spans="3:18" ht="12.75">
      <c r="C22" t="str">
        <f>'EB2'!$L$2</f>
        <v>HFO</v>
      </c>
      <c r="E22" s="146">
        <f>'EB2'!$L$5/SUM('EB2'!$G$5:$J$5,'EB2'!$L$5:$M$5)*1.01</f>
        <v>0.013570827325292131</v>
      </c>
      <c r="F22" s="15"/>
      <c r="G22" s="89"/>
      <c r="H22" s="14"/>
      <c r="J22" s="5"/>
      <c r="K22" s="5"/>
      <c r="L22" s="5"/>
      <c r="M22" s="26"/>
      <c r="N22" s="5"/>
      <c r="O22" s="5"/>
      <c r="P22" s="5"/>
      <c r="Q22" s="5"/>
      <c r="R22" s="5"/>
    </row>
    <row r="23" spans="3:18" ht="12.75">
      <c r="C23" t="str">
        <f>'EB2'!$M$2</f>
        <v>OPP</v>
      </c>
      <c r="E23" s="146">
        <f>'EB2'!$M$5/SUM('EB2'!$G$5:$J$5,'EB2'!$L$5:$M$5)*1.01</f>
        <v>0.00081177900775479593</v>
      </c>
      <c r="F23" s="15"/>
      <c r="G23" s="89"/>
      <c r="H23" s="14"/>
      <c r="J23" s="5"/>
      <c r="K23" s="5"/>
      <c r="L23" s="5"/>
      <c r="M23" s="26"/>
      <c r="N23" s="5"/>
      <c r="O23" s="5"/>
      <c r="P23" s="5"/>
      <c r="Q23" s="5"/>
      <c r="R23" s="5"/>
    </row>
    <row r="24" spans="2:18" ht="12.75">
      <c r="B24" t="str">
        <f>L19</f>
        <v>FTE-RSDBIO</v>
      </c>
      <c r="C24" t="str">
        <f>RIGHT(D24,3)</f>
        <v>BIO</v>
      </c>
      <c r="D24" t="str">
        <f>L8</f>
        <v>RSDBIO</v>
      </c>
      <c r="E24" s="15"/>
      <c r="F24" s="15"/>
      <c r="G24" s="83">
        <v>1</v>
      </c>
      <c r="H24" s="84">
        <v>30</v>
      </c>
      <c r="J24" s="34"/>
      <c r="K24" s="33"/>
      <c r="L24" s="5"/>
      <c r="M24" s="26"/>
      <c r="N24" s="5"/>
      <c r="O24" s="5"/>
      <c r="P24" s="5"/>
      <c r="Q24" s="5"/>
      <c r="R24" s="5"/>
    </row>
    <row r="25" spans="2:18" ht="12.75">
      <c r="B25" t="str">
        <f>L20</f>
        <v>FTE-RSDSOL</v>
      </c>
      <c r="C25" t="str">
        <f>RIGHT(D25,3)</f>
        <v>SOL</v>
      </c>
      <c r="D25" t="str">
        <f>L9</f>
        <v>RSDSOL</v>
      </c>
      <c r="E25" s="15"/>
      <c r="F25" s="15"/>
      <c r="G25" s="83">
        <v>1</v>
      </c>
      <c r="H25" s="84">
        <v>30</v>
      </c>
      <c r="J25" s="34"/>
      <c r="K25" s="33"/>
      <c r="L25" s="5"/>
      <c r="M25" s="26"/>
      <c r="N25" s="5"/>
      <c r="O25" s="5"/>
      <c r="P25" s="5"/>
      <c r="Q25" s="5"/>
      <c r="R25" s="5"/>
    </row>
    <row r="26" spans="2:18" ht="12.75">
      <c r="B26" t="str">
        <f>L21</f>
        <v>FTE-RSDELC</v>
      </c>
      <c r="C26" t="str">
        <f>RIGHT(D26,3)</f>
        <v>ELC</v>
      </c>
      <c r="D26" t="str">
        <f>L10</f>
        <v>RSDELC</v>
      </c>
      <c r="E26" s="15"/>
      <c r="F26" s="15"/>
      <c r="G26" s="83">
        <v>1</v>
      </c>
      <c r="H26" s="84">
        <v>30</v>
      </c>
      <c r="J26" s="33"/>
      <c r="K26" s="33"/>
      <c r="L26" s="5"/>
      <c r="M26" s="26"/>
      <c r="N26" s="5"/>
      <c r="O26" s="5"/>
      <c r="P26" s="5"/>
      <c r="Q26" s="5"/>
      <c r="R26" s="5"/>
    </row>
    <row r="27" spans="2:18" ht="12.75">
      <c r="B27" s="5"/>
      <c r="C27" s="5"/>
      <c r="D27" s="5"/>
      <c r="E27" s="15"/>
      <c r="F27" s="15"/>
      <c r="G27" s="89"/>
      <c r="H27" s="14"/>
      <c r="J27" s="39"/>
      <c r="K27" s="37"/>
      <c r="L27" s="5"/>
      <c r="M27" s="26"/>
      <c r="N27" s="5"/>
      <c r="O27" s="5"/>
      <c r="P27" s="5"/>
      <c r="Q27" s="5"/>
      <c r="R27" s="5"/>
    </row>
    <row r="28" spans="2:18" ht="12.75">
      <c r="B28" s="5"/>
      <c r="C28" s="5"/>
      <c r="D28" s="5"/>
      <c r="E28" s="15"/>
      <c r="F28" s="15"/>
      <c r="G28" s="89"/>
      <c r="H28" s="14"/>
      <c r="J28" s="40"/>
      <c r="K28" s="40"/>
      <c r="L28" s="5"/>
      <c r="M28" s="26"/>
      <c r="N28" s="5"/>
      <c r="O28" s="5"/>
      <c r="P28" s="40"/>
      <c r="Q28" s="40"/>
      <c r="R28" s="5"/>
    </row>
    <row r="29" spans="2:18" ht="12.75">
      <c r="B29" s="40"/>
      <c r="C29" s="40"/>
      <c r="D29" s="40"/>
      <c r="E29" s="15"/>
      <c r="F29" s="15"/>
      <c r="G29" s="89"/>
      <c r="H29" s="14"/>
      <c r="J29" s="5"/>
      <c r="K29" s="5"/>
      <c r="L29" s="5"/>
      <c r="M29" s="5"/>
      <c r="N29" s="5"/>
      <c r="O29" s="5"/>
      <c r="P29" s="5"/>
      <c r="Q29" s="5"/>
      <c r="R29" s="5"/>
    </row>
    <row r="30" spans="2:8" ht="12.75">
      <c r="B30" s="35"/>
      <c r="C30" s="5"/>
      <c r="D30" s="35"/>
      <c r="E30" s="15"/>
      <c r="F30" s="15"/>
      <c r="G30" s="89"/>
      <c r="H30" s="14"/>
    </row>
    <row r="31" spans="2:8" ht="12.75">
      <c r="B31" s="35"/>
      <c r="C31" s="5"/>
      <c r="D31" s="35"/>
      <c r="E31" s="15"/>
      <c r="F31" s="15"/>
      <c r="G31" s="89"/>
      <c r="H31" s="14"/>
    </row>
    <row r="32" spans="2:8" ht="12.75">
      <c r="B32" s="35"/>
      <c r="C32" s="5"/>
      <c r="D32" s="35"/>
      <c r="E32" s="120"/>
      <c r="F32" s="15"/>
      <c r="G32" s="89"/>
      <c r="H32" s="14"/>
    </row>
    <row r="33" spans="2:8" ht="12.75">
      <c r="B33" s="35"/>
      <c r="C33" s="5"/>
      <c r="D33" s="35"/>
      <c r="E33" s="120"/>
      <c r="F33" s="15"/>
      <c r="G33" s="89"/>
      <c r="H33" s="14"/>
    </row>
    <row r="34" spans="2:8" ht="12.75">
      <c r="B34" s="35"/>
      <c r="C34" s="5"/>
      <c r="D34" s="35"/>
      <c r="E34" s="120"/>
      <c r="F34" s="15"/>
      <c r="G34" s="89"/>
      <c r="H34" s="14"/>
    </row>
    <row r="35" spans="2:8" ht="12.75">
      <c r="B35" s="35"/>
      <c r="C35" s="5"/>
      <c r="D35" s="35"/>
      <c r="E35" s="120"/>
      <c r="F35" s="15"/>
      <c r="G35" s="89"/>
      <c r="H35" s="14"/>
    </row>
    <row r="36" spans="2:8" ht="12.75">
      <c r="B36" s="36"/>
      <c r="C36" s="5"/>
      <c r="D36" s="35"/>
      <c r="E36" s="15"/>
      <c r="F36" s="15"/>
      <c r="G36" s="89"/>
      <c r="H36" s="14"/>
    </row>
    <row r="37" spans="2:8" ht="12.75">
      <c r="B37" s="36"/>
      <c r="C37" s="5"/>
      <c r="D37" s="35"/>
      <c r="E37" s="15"/>
      <c r="F37" s="15"/>
      <c r="G37" s="89"/>
      <c r="H37" s="14"/>
    </row>
    <row r="41" spans="2:3" ht="12.75">
      <c r="B41" s="58"/>
      <c r="C41" s="1" t="s">
        <v>156</v>
      </c>
    </row>
    <row r="42" spans="2:3" ht="12.75">
      <c r="B42" s="81"/>
      <c r="C42" s="1" t="s">
        <v>157</v>
      </c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42"/>
  <sheetViews>
    <sheetView workbookViewId="0" topLeftCell="A1">
      <selection pane="topLeft" activeCell="H12" sqref="H12"/>
    </sheetView>
  </sheetViews>
  <sheetFormatPr defaultRowHeight="12.75"/>
  <cols>
    <col min="1" max="1" width="3" customWidth="1"/>
    <col min="2" max="2" width="12.1428571428571" bestFit="1" customWidth="1"/>
    <col min="3" max="3" width="11.8571428571429" bestFit="1" customWidth="1"/>
    <col min="4" max="4" width="13.8571428571429" bestFit="1" customWidth="1"/>
    <col min="5" max="5" width="12.2857142857143" bestFit="1" customWidth="1"/>
    <col min="6" max="6" width="12.4285714285714" bestFit="1" customWidth="1"/>
    <col min="7" max="7" width="13.1428571428571" bestFit="1" customWidth="1"/>
    <col min="8" max="8" width="14.4285714285714" bestFit="1" customWidth="1"/>
    <col min="9" max="9" width="8.14285714285714" customWidth="1"/>
    <col min="10" max="10" width="2" customWidth="1"/>
    <col min="11" max="11" width="11.5714285714286" customWidth="1"/>
    <col min="12" max="12" width="2" style="40" bestFit="1" customWidth="1"/>
    <col min="13" max="13" width="12.7142857142857" bestFit="1" customWidth="1"/>
    <col min="14" max="14" width="7.14285714285714" customWidth="1"/>
    <col min="15" max="15" width="17.4285714285714" bestFit="1" customWidth="1"/>
    <col min="16" max="16" width="77.5714285714286" bestFit="1" customWidth="1"/>
    <col min="17" max="17" width="5.71428571428571" customWidth="1"/>
    <col min="18" max="18" width="11.7142857142857" customWidth="1"/>
    <col min="19" max="19" width="13.4285714285714" customWidth="1"/>
    <col min="20" max="20" width="13.8571428571429" customWidth="1"/>
    <col min="21" max="21" width="8.42857142857143" customWidth="1"/>
  </cols>
  <sheetData>
    <row r="1" spans="2:9" ht="15">
      <c r="B1" s="11" t="s">
        <v>73</v>
      </c>
      <c r="C1" s="11" t="s">
        <v>75</v>
      </c>
      <c r="D1" s="11" t="s">
        <v>118</v>
      </c>
      <c r="E1" s="30" t="s">
        <v>23</v>
      </c>
      <c r="F1" s="30" t="s">
        <v>121</v>
      </c>
      <c r="G1" s="11" t="s">
        <v>78</v>
      </c>
      <c r="I1" s="11" t="s">
        <v>99</v>
      </c>
    </row>
    <row r="2" spans="2:21" ht="31.5">
      <c r="B2" s="13" t="str">
        <f>'EB2'!B5</f>
        <v>RSD</v>
      </c>
      <c r="C2" s="13" t="str">
        <f>'EB2'!C5</f>
        <v>Residential</v>
      </c>
      <c r="D2" s="25" t="str">
        <f>"Demand Technologies"</f>
        <v>Demand Technologies</v>
      </c>
      <c r="E2" s="13" t="str">
        <f>'EB2'!Z2</f>
        <v>PJ</v>
      </c>
      <c r="F2" s="13" t="s">
        <v>122</v>
      </c>
      <c r="G2" s="13" t="str">
        <f>'EB2'!Y2</f>
        <v>M€2005</v>
      </c>
      <c r="I2" s="13" t="s">
        <v>100</v>
      </c>
      <c r="M2" s="160" t="s">
        <v>14</v>
      </c>
      <c r="N2" s="160"/>
      <c r="O2" s="161"/>
      <c r="P2" s="161"/>
      <c r="Q2" s="161"/>
      <c r="R2" s="161"/>
      <c r="S2" s="161"/>
      <c r="T2" s="161"/>
      <c r="U2" s="161"/>
    </row>
    <row r="3" spans="13:21" ht="12.75">
      <c r="M3" s="162" t="s">
        <v>7</v>
      </c>
      <c r="N3" s="163" t="s">
        <v>30</v>
      </c>
      <c r="O3" s="162" t="s">
        <v>0</v>
      </c>
      <c r="P3" s="162" t="s">
        <v>3</v>
      </c>
      <c r="Q3" s="162" t="s">
        <v>4</v>
      </c>
      <c r="R3" s="162" t="s">
        <v>8</v>
      </c>
      <c r="S3" s="162" t="s">
        <v>9</v>
      </c>
      <c r="T3" s="162" t="s">
        <v>10</v>
      </c>
      <c r="U3" s="162" t="s">
        <v>12</v>
      </c>
    </row>
    <row r="4" spans="2:21" s="5" customFormat="1" ht="24" thickBot="1">
      <c r="B4" s="12"/>
      <c r="C4" s="12"/>
      <c r="D4" s="12"/>
      <c r="E4" s="12"/>
      <c r="F4" s="12"/>
      <c r="L4" s="40"/>
      <c r="M4" s="164" t="s">
        <v>37</v>
      </c>
      <c r="N4" s="164" t="s">
        <v>31</v>
      </c>
      <c r="O4" s="164" t="s">
        <v>26</v>
      </c>
      <c r="P4" s="164" t="s">
        <v>27</v>
      </c>
      <c r="Q4" s="164" t="s">
        <v>4</v>
      </c>
      <c r="R4" s="164" t="s">
        <v>40</v>
      </c>
      <c r="S4" s="164" t="s">
        <v>41</v>
      </c>
      <c r="T4" s="164" t="s">
        <v>28</v>
      </c>
      <c r="U4" s="164" t="s">
        <v>29</v>
      </c>
    </row>
    <row r="5" spans="2:21" s="5" customFormat="1" ht="15.75">
      <c r="B5" s="12"/>
      <c r="C5" s="12"/>
      <c r="D5" s="12"/>
      <c r="E5" s="12"/>
      <c r="F5" s="12"/>
      <c r="L5" s="40"/>
      <c r="M5" s="169" t="s">
        <v>83</v>
      </c>
      <c r="N5" s="165"/>
      <c r="O5" s="169" t="str">
        <f>LEFT($M$5,1)&amp;LEFT($B$2,1)&amp;'EB2'!$C$21</f>
        <v>DRSH</v>
      </c>
      <c r="P5" s="169" t="str">
        <f>LEFT($D$2,6)&amp;" "&amp;$C$2&amp;" Sector - "&amp;'EB2'!$X$21</f>
        <v>Demand Residential Sector - Space Heating</v>
      </c>
      <c r="Q5" s="169" t="str">
        <f>$E$2</f>
        <v>PJ</v>
      </c>
      <c r="R5" s="169"/>
      <c r="S5" s="169"/>
      <c r="T5" s="169"/>
      <c r="U5" s="169"/>
    </row>
    <row r="6" spans="2:21" s="5" customFormat="1" ht="15.75">
      <c r="B6" s="12"/>
      <c r="C6" s="12"/>
      <c r="D6" s="12"/>
      <c r="E6" s="12"/>
      <c r="F6" s="12"/>
      <c r="L6" s="40"/>
      <c r="M6" s="169"/>
      <c r="N6" s="165"/>
      <c r="O6" s="169" t="str">
        <f>LEFT($M$5,1)&amp;LEFT($B$2,1)&amp;'EB2'!$C$22</f>
        <v>DRAP</v>
      </c>
      <c r="P6" s="169" t="str">
        <f>LEFT($D$2,6)&amp;" "&amp;$C$2&amp;" Sector - "&amp;'EB2'!$X$22</f>
        <v>Demand Residential Sector - Appliancens</v>
      </c>
      <c r="Q6" s="169" t="str">
        <f>$E$2</f>
        <v>PJ</v>
      </c>
      <c r="R6" s="169"/>
      <c r="S6" s="169"/>
      <c r="T6" s="169"/>
      <c r="U6" s="169"/>
    </row>
    <row r="7" spans="2:21" s="5" customFormat="1" ht="15.75">
      <c r="B7" s="12"/>
      <c r="C7" s="12"/>
      <c r="D7" s="12"/>
      <c r="E7" s="12"/>
      <c r="F7" s="12"/>
      <c r="L7" s="40"/>
      <c r="M7" s="169"/>
      <c r="N7" s="165"/>
      <c r="O7" s="169" t="str">
        <f>LEFT($M$5,1)&amp;LEFT($B$2,1)&amp;'EB2'!$C$23</f>
        <v>DROT</v>
      </c>
      <c r="P7" s="169" t="str">
        <f>LEFT($D$2,6)&amp;" "&amp;$C$2&amp;" Sector - "&amp;'EB2'!$X$23</f>
        <v>Demand Residential Sector - Other</v>
      </c>
      <c r="Q7" s="169" t="str">
        <f>$E$2</f>
        <v>PJ</v>
      </c>
      <c r="R7" s="169"/>
      <c r="S7" s="169"/>
      <c r="T7" s="169"/>
      <c r="U7" s="169"/>
    </row>
    <row r="8" spans="13:21" ht="12.75">
      <c r="M8" s="167" t="s">
        <v>109</v>
      </c>
      <c r="N8" s="167"/>
      <c r="O8" s="167" t="str">
        <f>$B$2&amp;'EB2'!$C$29</f>
        <v>RSDCO2</v>
      </c>
      <c r="P8" s="167" t="str">
        <f>$C$2&amp;" "&amp;'EB2'!$C$30</f>
        <v>Residential Carbon dioxide</v>
      </c>
      <c r="Q8" s="167" t="str">
        <f>'EB2'!$AA$2</f>
        <v>kt</v>
      </c>
      <c r="R8" s="167"/>
      <c r="S8" s="167"/>
      <c r="T8" s="167"/>
      <c r="U8" s="167"/>
    </row>
    <row r="10" spans="4:21" ht="12.75">
      <c r="D10" s="4" t="s">
        <v>13</v>
      </c>
      <c r="E10" s="4"/>
      <c r="G10" s="4"/>
      <c r="H10" s="4"/>
      <c r="I10" s="18"/>
      <c r="M10" s="160" t="s">
        <v>15</v>
      </c>
      <c r="N10" s="160"/>
      <c r="O10" s="167"/>
      <c r="P10" s="167"/>
      <c r="Q10" s="167"/>
      <c r="R10" s="167"/>
      <c r="S10" s="167"/>
      <c r="T10" s="167"/>
      <c r="U10" s="167"/>
    </row>
    <row r="11" spans="2:21" ht="12.75">
      <c r="B11" s="22" t="s">
        <v>1</v>
      </c>
      <c r="C11" s="22" t="s">
        <v>5</v>
      </c>
      <c r="D11" s="22" t="s">
        <v>6</v>
      </c>
      <c r="E11" s="92" t="s">
        <v>132</v>
      </c>
      <c r="F11" s="92" t="s">
        <v>84</v>
      </c>
      <c r="G11" s="92" t="s">
        <v>97</v>
      </c>
      <c r="H11" s="92" t="s">
        <v>175</v>
      </c>
      <c r="I11" s="92" t="s">
        <v>79</v>
      </c>
      <c r="K11" s="119" t="s">
        <v>35</v>
      </c>
      <c r="L11" s="129"/>
      <c r="M11" s="162" t="s">
        <v>11</v>
      </c>
      <c r="N11" s="163" t="s">
        <v>30</v>
      </c>
      <c r="O11" s="162" t="s">
        <v>1</v>
      </c>
      <c r="P11" s="162" t="s">
        <v>2</v>
      </c>
      <c r="Q11" s="162" t="s">
        <v>16</v>
      </c>
      <c r="R11" s="162" t="s">
        <v>17</v>
      </c>
      <c r="S11" s="162" t="s">
        <v>18</v>
      </c>
      <c r="T11" s="162" t="s">
        <v>19</v>
      </c>
      <c r="U11" s="162" t="s">
        <v>20</v>
      </c>
    </row>
    <row r="12" spans="2:21" ht="23.25" thickBot="1">
      <c r="B12" s="20" t="s">
        <v>39</v>
      </c>
      <c r="C12" s="20" t="s">
        <v>32</v>
      </c>
      <c r="D12" s="20" t="s">
        <v>33</v>
      </c>
      <c r="E12" s="20" t="s">
        <v>34</v>
      </c>
      <c r="F12" s="20" t="s">
        <v>89</v>
      </c>
      <c r="G12" s="106" t="s">
        <v>98</v>
      </c>
      <c r="H12" s="20" t="s">
        <v>123</v>
      </c>
      <c r="I12" s="20" t="s">
        <v>174</v>
      </c>
      <c r="K12" s="119" t="s">
        <v>161</v>
      </c>
      <c r="L12" s="51"/>
      <c r="M12" s="164" t="s">
        <v>38</v>
      </c>
      <c r="N12" s="164" t="s">
        <v>31</v>
      </c>
      <c r="O12" s="164" t="s">
        <v>21</v>
      </c>
      <c r="P12" s="164" t="s">
        <v>22</v>
      </c>
      <c r="Q12" s="164" t="s">
        <v>23</v>
      </c>
      <c r="R12" s="164" t="s">
        <v>24</v>
      </c>
      <c r="S12" s="164" t="s">
        <v>43</v>
      </c>
      <c r="T12" s="164" t="s">
        <v>42</v>
      </c>
      <c r="U12" s="164" t="s">
        <v>25</v>
      </c>
    </row>
    <row r="13" spans="2:21" ht="13.5" thickBot="1">
      <c r="B13" s="19" t="s">
        <v>90</v>
      </c>
      <c r="C13" s="19"/>
      <c r="D13" s="19"/>
      <c r="E13" s="17" t="s">
        <v>122</v>
      </c>
      <c r="F13" s="17"/>
      <c r="G13" s="94"/>
      <c r="H13" s="17" t="str">
        <f>$F$2&amp;"/"&amp;$E$2</f>
        <v>GW/PJ</v>
      </c>
      <c r="I13" s="17" t="s">
        <v>91</v>
      </c>
      <c r="K13" s="17"/>
      <c r="M13" s="164" t="s">
        <v>81</v>
      </c>
      <c r="N13" s="164"/>
      <c r="O13" s="164"/>
      <c r="P13" s="164"/>
      <c r="Q13" s="164"/>
      <c r="R13" s="164"/>
      <c r="S13" s="164"/>
      <c r="T13" s="164"/>
      <c r="U13" s="164"/>
    </row>
    <row r="14" spans="2:21" ht="12.75">
      <c r="B14" t="str">
        <f>O14</f>
        <v>RSHECOA</v>
      </c>
      <c r="C14" t="str">
        <f>$B$2&amp;RIGHT(B14,3)</f>
        <v>RSDCOA</v>
      </c>
      <c r="D14" t="str">
        <f t="shared" si="0" ref="D14:D19">$O$5</f>
        <v>DRSH</v>
      </c>
      <c r="E14" s="80">
        <f>'EB2'!$D$5*'EB2'!$D$21/(G14*H14)*1.01</f>
        <v>0</v>
      </c>
      <c r="F14" s="85">
        <v>0.85</v>
      </c>
      <c r="G14" s="85">
        <v>0.30</v>
      </c>
      <c r="H14" s="87">
        <v>31.536000000000001</v>
      </c>
      <c r="I14" s="58">
        <v>15</v>
      </c>
      <c r="K14" s="45">
        <f>E14*G14*H14</f>
        <v>0</v>
      </c>
      <c r="M14" s="169" t="s">
        <v>96</v>
      </c>
      <c r="N14" s="165"/>
      <c r="O14" s="165" t="str">
        <f>LEFT($B$2)&amp;'EB2'!$C$21&amp;$I$2&amp;'EB2'!$D$2</f>
        <v>RSHECOA</v>
      </c>
      <c r="P14" s="170" t="str">
        <f>$D$2&amp;" "&amp;$C$2&amp;" Sector - "&amp;""&amp;$I$1&amp;" "&amp;'EB2'!$X$21&amp;" - "&amp;'EB2'!$D$3</f>
        <v>Demand Technologies Residential Sector - Existing Space Heating - Solid Fuels</v>
      </c>
      <c r="Q14" s="165" t="str">
        <f t="shared" si="1" ref="Q14:Q25">$E$2</f>
        <v>PJ</v>
      </c>
      <c r="R14" s="165" t="str">
        <f t="shared" si="2" ref="R14:R25">$E$2&amp;"a"</f>
        <v>PJa</v>
      </c>
      <c r="S14" s="165"/>
      <c r="T14" s="165"/>
      <c r="U14" s="165"/>
    </row>
    <row r="15" spans="2:21" ht="12.75">
      <c r="B15" t="str">
        <f t="shared" si="3" ref="B15:B23">O15</f>
        <v>RSHEGAS</v>
      </c>
      <c r="C15" t="str">
        <f t="shared" si="4" ref="C15:C25">$B$2&amp;RIGHT(B15,3)</f>
        <v>RSDGAS</v>
      </c>
      <c r="D15" t="str">
        <f t="shared" si="0"/>
        <v>DRSH</v>
      </c>
      <c r="E15" s="80">
        <f>'EB2'!$E$5*'EB2'!$E$21/(G15*H15)*1.01</f>
        <v>264.40339573820393</v>
      </c>
      <c r="F15" s="85">
        <v>0.90</v>
      </c>
      <c r="G15" s="85">
        <v>0.30</v>
      </c>
      <c r="H15" s="87">
        <v>31.536000000000001</v>
      </c>
      <c r="I15" s="58">
        <v>15</v>
      </c>
      <c r="K15" s="45">
        <f t="shared" si="5" ref="K15:K23">E15*G15*H15</f>
        <v>2501.4676463999995</v>
      </c>
      <c r="M15" s="165"/>
      <c r="N15" s="165"/>
      <c r="O15" s="165" t="str">
        <f>LEFT($B$2)&amp;'EB2'!$C$21&amp;$I$2&amp;'EB2'!$E$2</f>
        <v>RSHEGAS</v>
      </c>
      <c r="P15" s="170" t="str">
        <f>$D$2&amp;" "&amp;$C$2&amp;" Sector - "&amp;""&amp;$I$1&amp;" "&amp;'EB2'!$X$21&amp;" - "&amp;'EB2'!$E$3</f>
        <v>Demand Technologies Residential Sector - Existing Space Heating - Natural Gas</v>
      </c>
      <c r="Q15" s="165" t="str">
        <f t="shared" si="1"/>
        <v>PJ</v>
      </c>
      <c r="R15" s="165" t="str">
        <f t="shared" si="2"/>
        <v>PJa</v>
      </c>
      <c r="S15" s="165"/>
      <c r="T15" s="165"/>
      <c r="U15" s="165"/>
    </row>
    <row r="16" spans="2:21" ht="12.75">
      <c r="B16" t="str">
        <f t="shared" si="3"/>
        <v>RSHEOIL</v>
      </c>
      <c r="C16" t="str">
        <f t="shared" si="4"/>
        <v>RSDOIL</v>
      </c>
      <c r="D16" t="str">
        <f t="shared" si="0"/>
        <v>DRSH</v>
      </c>
      <c r="E16" s="80">
        <f>SUM('EB2'!$G$5:$J$5,'EB2'!$L$5:$M$5)*'EB2'!$G$21/(G16*H16)*1.01</f>
        <v>97.758579824116353</v>
      </c>
      <c r="F16" s="85">
        <v>0.80</v>
      </c>
      <c r="G16" s="85">
        <v>0.30</v>
      </c>
      <c r="H16" s="87">
        <v>31.536000000000001</v>
      </c>
      <c r="I16" s="58">
        <v>15</v>
      </c>
      <c r="K16" s="45">
        <f t="shared" si="5"/>
        <v>924.87437199999999</v>
      </c>
      <c r="M16" s="165"/>
      <c r="N16" s="165"/>
      <c r="O16" s="165" t="str">
        <f>LEFT($B$2)&amp;'EB2'!$C$21&amp;$I$2&amp;'EB2'!$F$2</f>
        <v>RSHEOIL</v>
      </c>
      <c r="P16" s="170" t="str">
        <f>$D$2&amp;" "&amp;$C$2&amp;" Sector - "&amp;""&amp;$I$1&amp;" "&amp;'EB2'!$X$21&amp;" - "&amp;RIGHT('EB2'!$F$3,3)</f>
        <v>Demand Technologies Residential Sector - Existing Space Heating - oil</v>
      </c>
      <c r="Q16" s="165" t="str">
        <f t="shared" si="1"/>
        <v>PJ</v>
      </c>
      <c r="R16" s="165" t="str">
        <f t="shared" si="2"/>
        <v>PJa</v>
      </c>
      <c r="S16" s="165"/>
      <c r="T16" s="165"/>
      <c r="U16" s="165"/>
    </row>
    <row r="17" spans="2:21" ht="12.75">
      <c r="B17" t="str">
        <f t="shared" si="3"/>
        <v>RSHEBIO</v>
      </c>
      <c r="C17" t="str">
        <f t="shared" si="4"/>
        <v>RSDBIO</v>
      </c>
      <c r="D17" t="str">
        <f t="shared" si="0"/>
        <v>DRSH</v>
      </c>
      <c r="E17" s="80">
        <f>'EB2'!$O$5*'EB2'!$O$21/(G17*H17)*1.01</f>
        <v>25.491845721292059</v>
      </c>
      <c r="F17" s="85">
        <v>0.80</v>
      </c>
      <c r="G17" s="85">
        <v>0.30</v>
      </c>
      <c r="H17" s="87">
        <v>31.536000000000001</v>
      </c>
      <c r="I17" s="58">
        <v>15</v>
      </c>
      <c r="K17" s="45">
        <f t="shared" si="5"/>
        <v>241.1732539999999</v>
      </c>
      <c r="M17" s="165"/>
      <c r="N17" s="165"/>
      <c r="O17" s="165" t="str">
        <f>LEFT($B$2)&amp;'EB2'!$C$21&amp;$I$2&amp;'EB2'!$O$2</f>
        <v>RSHEBIO</v>
      </c>
      <c r="P17" s="170" t="str">
        <f>$D$2&amp;" "&amp;$C$2&amp;" Sector - "&amp;""&amp;$I$1&amp;" "&amp;'EB2'!$X$21&amp;" - "&amp;'EB2'!$O$3</f>
        <v>Demand Technologies Residential Sector - Existing Space Heating - Biomass</v>
      </c>
      <c r="Q17" s="165" t="str">
        <f t="shared" si="1"/>
        <v>PJ</v>
      </c>
      <c r="R17" s="165" t="str">
        <f t="shared" si="2"/>
        <v>PJa</v>
      </c>
      <c r="S17" s="165"/>
      <c r="T17" s="165"/>
      <c r="U17" s="165"/>
    </row>
    <row r="18" spans="2:21" ht="12.75">
      <c r="B18" t="str">
        <f>O18</f>
        <v>RSHESOL</v>
      </c>
      <c r="C18" t="str">
        <f>$B$2&amp;RIGHT(B18,3)</f>
        <v>RSDSOL</v>
      </c>
      <c r="D18" t="str">
        <f t="shared" si="0"/>
        <v>DRSH</v>
      </c>
      <c r="E18" s="80">
        <f>'EB2'!$R$5*'EB2'!$R$21/(G18*H18)*1.01</f>
        <v>5.337814983933705</v>
      </c>
      <c r="F18" s="85">
        <v>0.80</v>
      </c>
      <c r="G18" s="85">
        <v>0.30</v>
      </c>
      <c r="H18" s="87">
        <v>31.536000000000001</v>
      </c>
      <c r="I18" s="58">
        <v>15</v>
      </c>
      <c r="K18" s="45">
        <f>E18*G18*H18</f>
        <v>50.5</v>
      </c>
      <c r="M18" s="165"/>
      <c r="N18" s="165"/>
      <c r="O18" s="165" t="str">
        <f>LEFT($B$2)&amp;'EB2'!$C$21&amp;$I$2&amp;'EB2'!$R$2</f>
        <v>RSHESOL</v>
      </c>
      <c r="P18" s="170" t="str">
        <f>$D$2&amp;" "&amp;$C$2&amp;" Sector - "&amp;""&amp;$I$1&amp;" "&amp;'EB2'!$X$21&amp;" - "&amp;'EB2'!$R$3</f>
        <v>Demand Technologies Residential Sector - Existing Space Heating - Solar energy</v>
      </c>
      <c r="Q18" s="165" t="str">
        <f t="shared" si="1"/>
        <v>PJ</v>
      </c>
      <c r="R18" s="165" t="str">
        <f t="shared" si="2"/>
        <v>PJa</v>
      </c>
      <c r="S18" s="165"/>
      <c r="T18" s="165"/>
      <c r="U18" s="165"/>
    </row>
    <row r="19" spans="2:21" ht="12.75">
      <c r="B19" s="31" t="str">
        <f t="shared" si="3"/>
        <v>RSHEELC</v>
      </c>
      <c r="C19" s="31" t="str">
        <f t="shared" si="4"/>
        <v>RSDELC</v>
      </c>
      <c r="D19" s="31" t="str">
        <f t="shared" si="0"/>
        <v>DRSH</v>
      </c>
      <c r="E19" s="97">
        <f>'EB2'!$U$5*'EB2'!$U$21/(G19*H19)*1.01</f>
        <v>7.664413738795874</v>
      </c>
      <c r="F19" s="130">
        <v>0.97</v>
      </c>
      <c r="G19" s="130">
        <v>0.30</v>
      </c>
      <c r="H19" s="131">
        <v>31.536000000000001</v>
      </c>
      <c r="I19" s="132">
        <v>15</v>
      </c>
      <c r="J19" s="7"/>
      <c r="K19" s="133">
        <f t="shared" si="5"/>
        <v>72.511485500000006</v>
      </c>
      <c r="M19" s="165"/>
      <c r="N19" s="165"/>
      <c r="O19" s="165" t="str">
        <f>LEFT($B$2)&amp;'EB2'!$C$21&amp;$I$2&amp;'EB2'!$U$2</f>
        <v>RSHEELC</v>
      </c>
      <c r="P19" s="170" t="str">
        <f>$D$2&amp;" "&amp;$C$2&amp;" Sector - "&amp;""&amp;$I$1&amp;" "&amp;'EB2'!$X$21&amp;" - "&amp;'EB2'!$U$3</f>
        <v>Demand Technologies Residential Sector - Existing Space Heating - Electricity</v>
      </c>
      <c r="Q19" s="165" t="str">
        <f t="shared" si="1"/>
        <v>PJ</v>
      </c>
      <c r="R19" s="165" t="str">
        <f t="shared" si="2"/>
        <v>PJa</v>
      </c>
      <c r="S19" s="165"/>
      <c r="T19" s="165"/>
      <c r="U19" s="165"/>
    </row>
    <row r="20" spans="2:21" ht="12.75">
      <c r="B20" s="134" t="str">
        <f t="shared" si="3"/>
        <v>RAPEELC</v>
      </c>
      <c r="C20" s="134" t="str">
        <f t="shared" si="4"/>
        <v>RSDELC</v>
      </c>
      <c r="D20" s="134" t="str">
        <f>$O$6</f>
        <v>DRAP</v>
      </c>
      <c r="E20" s="135">
        <f>'EB2'!$U$5*'EB2'!$U$22/(G20*H20)*1.01</f>
        <v>4350.6891300000007</v>
      </c>
      <c r="F20" s="136">
        <v>1</v>
      </c>
      <c r="G20" s="136">
        <v>0.30</v>
      </c>
      <c r="H20" s="147">
        <v>1</v>
      </c>
      <c r="I20" s="137">
        <v>5</v>
      </c>
      <c r="J20" s="7"/>
      <c r="K20" s="138">
        <f t="shared" si="5"/>
        <v>1305.2067390000002</v>
      </c>
      <c r="M20" s="171"/>
      <c r="N20" s="171"/>
      <c r="O20" s="171" t="str">
        <f>LEFT($B$2)&amp;'EB2'!$C$22&amp;$I$2&amp;'EB2'!$U$2</f>
        <v>RAPEELC</v>
      </c>
      <c r="P20" s="172" t="str">
        <f>$D$2&amp;" "&amp;$C$2&amp;" Sector - "&amp;""&amp;$I$1&amp;" "&amp;'EB2'!$X$22&amp;" - "&amp;'EB2'!$U$3</f>
        <v>Demand Technologies Residential Sector - Existing Appliancens - Electricity</v>
      </c>
      <c r="Q20" s="171" t="str">
        <f t="shared" si="1"/>
        <v>PJ</v>
      </c>
      <c r="R20" s="171" t="str">
        <f t="shared" si="2"/>
        <v>PJa</v>
      </c>
      <c r="S20" s="171"/>
      <c r="T20" s="171"/>
      <c r="U20" s="171"/>
    </row>
    <row r="21" spans="2:21" ht="12.75">
      <c r="B21" t="str">
        <f t="shared" si="3"/>
        <v>ROTECOA</v>
      </c>
      <c r="C21" t="str">
        <f t="shared" si="4"/>
        <v>RSDCOA</v>
      </c>
      <c r="D21" t="str">
        <f>$O$7</f>
        <v>DROT</v>
      </c>
      <c r="E21" s="80">
        <f>'EB2'!$D$5*'EB2'!$D$23/(G21*H21)*1.01</f>
        <v>420.14064166666668</v>
      </c>
      <c r="F21" s="85">
        <v>1</v>
      </c>
      <c r="G21" s="85">
        <v>0.30</v>
      </c>
      <c r="H21" s="148">
        <v>1</v>
      </c>
      <c r="I21" s="58">
        <v>10</v>
      </c>
      <c r="J21" s="7"/>
      <c r="K21" s="45">
        <f t="shared" si="5"/>
        <v>126.0421925</v>
      </c>
      <c r="M21" s="165"/>
      <c r="N21" s="165"/>
      <c r="O21" s="165" t="str">
        <f>LEFT($B$2)&amp;'EB2'!$C$23&amp;$I$2&amp;'EB2'!$D$2</f>
        <v>ROTECOA</v>
      </c>
      <c r="P21" s="170" t="str">
        <f>$D$2&amp;" "&amp;$C$2&amp;" Sector - "&amp;""&amp;$I$1&amp;" "&amp;'EB2'!$X$23&amp;" - "&amp;'EB2'!$D$3</f>
        <v>Demand Technologies Residential Sector - Existing Other - Solid Fuels</v>
      </c>
      <c r="Q21" s="165" t="str">
        <f t="shared" si="1"/>
        <v>PJ</v>
      </c>
      <c r="R21" s="165" t="str">
        <f t="shared" si="2"/>
        <v>PJa</v>
      </c>
      <c r="S21" s="165"/>
      <c r="T21" s="165"/>
      <c r="U21" s="165"/>
    </row>
    <row r="22" spans="2:21" ht="12.75">
      <c r="B22" t="str">
        <f t="shared" si="3"/>
        <v>ROTEGAS</v>
      </c>
      <c r="C22" t="str">
        <f t="shared" si="4"/>
        <v>RSDGAS</v>
      </c>
      <c r="D22" t="str">
        <f>$O$7</f>
        <v>DROT</v>
      </c>
      <c r="E22" s="80">
        <f>'EB2'!$E$5*'EB2'!$E$23/(G22*H22)*1.01</f>
        <v>2084.5563719999996</v>
      </c>
      <c r="F22" s="85">
        <v>1</v>
      </c>
      <c r="G22" s="85">
        <v>0.30</v>
      </c>
      <c r="H22" s="148">
        <v>1</v>
      </c>
      <c r="I22" s="58">
        <v>10</v>
      </c>
      <c r="K22" s="45">
        <f t="shared" si="5"/>
        <v>625.36691159999987</v>
      </c>
      <c r="M22" s="165"/>
      <c r="N22" s="165"/>
      <c r="O22" s="165" t="str">
        <f>LEFT($B$2)&amp;'EB2'!$C$23&amp;$I$2&amp;'EB2'!$E$2</f>
        <v>ROTEGAS</v>
      </c>
      <c r="P22" s="170" t="str">
        <f>$D$2&amp;" "&amp;$C$2&amp;" Sector - "&amp;""&amp;$I$1&amp;" "&amp;'EB2'!$X$23&amp;" - "&amp;'EB2'!$E$3</f>
        <v>Demand Technologies Residential Sector - Existing Other - Natural Gas</v>
      </c>
      <c r="Q22" s="165" t="str">
        <f t="shared" si="1"/>
        <v>PJ</v>
      </c>
      <c r="R22" s="165" t="str">
        <f t="shared" si="2"/>
        <v>PJa</v>
      </c>
      <c r="S22" s="165"/>
      <c r="T22" s="165"/>
      <c r="U22" s="165"/>
    </row>
    <row r="23" spans="2:21" ht="12.75">
      <c r="B23" t="str">
        <f t="shared" si="3"/>
        <v>ROTEOIL</v>
      </c>
      <c r="C23" t="str">
        <f t="shared" si="4"/>
        <v>RSDOIL</v>
      </c>
      <c r="D23" t="str">
        <f>$O$7</f>
        <v>DROT</v>
      </c>
      <c r="E23" s="80">
        <f>SUM('EB2'!$G$5:$J$5,'EB2'!$L$5:$M$5)*'EB2'!$G$23/(G23*H23)*1.01</f>
        <v>770.72864333333325</v>
      </c>
      <c r="F23" s="85">
        <v>1</v>
      </c>
      <c r="G23" s="85">
        <v>0.30</v>
      </c>
      <c r="H23" s="148">
        <v>1</v>
      </c>
      <c r="I23" s="58">
        <v>10</v>
      </c>
      <c r="K23" s="45">
        <f t="shared" si="5"/>
        <v>231.21859299999997</v>
      </c>
      <c r="M23" s="165"/>
      <c r="N23" s="165"/>
      <c r="O23" s="165" t="str">
        <f>LEFT($B$2)&amp;'EB2'!$C$23&amp;$I$2&amp;'EB2'!$F$2</f>
        <v>ROTEOIL</v>
      </c>
      <c r="P23" s="170" t="str">
        <f>$D$2&amp;" "&amp;$C$2&amp;" Sector - "&amp;""&amp;$I$1&amp;" "&amp;'EB2'!$X$23&amp;" - "&amp;RIGHT('EB2'!$F$3,3)</f>
        <v>Demand Technologies Residential Sector - Existing Other - oil</v>
      </c>
      <c r="Q23" s="165" t="str">
        <f t="shared" si="1"/>
        <v>PJ</v>
      </c>
      <c r="R23" s="165" t="str">
        <f t="shared" si="2"/>
        <v>PJa</v>
      </c>
      <c r="S23" s="165"/>
      <c r="T23" s="165"/>
      <c r="U23" s="165"/>
    </row>
    <row r="24" spans="2:21" ht="12.75">
      <c r="B24" t="str">
        <f>O24</f>
        <v>ROTEBIO</v>
      </c>
      <c r="C24" t="str">
        <f t="shared" si="4"/>
        <v>RSDBIO</v>
      </c>
      <c r="D24" t="str">
        <f>$O$7</f>
        <v>DROT</v>
      </c>
      <c r="E24" s="80">
        <f>'EB2'!$O$5*'EB2'!$O$23/(G24*H24)*1.01</f>
        <v>200.97771166666658</v>
      </c>
      <c r="F24" s="85">
        <v>1</v>
      </c>
      <c r="G24" s="85">
        <v>0.30</v>
      </c>
      <c r="H24" s="148">
        <v>1</v>
      </c>
      <c r="I24" s="58">
        <v>10</v>
      </c>
      <c r="K24" s="45">
        <f>E24*G24*H24</f>
        <v>60.293313499999968</v>
      </c>
      <c r="M24" s="165"/>
      <c r="N24" s="165"/>
      <c r="O24" s="165" t="str">
        <f>LEFT($B$2)&amp;'EB2'!$C$23&amp;$I$2&amp;'EB2'!$O$2</f>
        <v>ROTEBIO</v>
      </c>
      <c r="P24" s="170" t="str">
        <f>$D$2&amp;" "&amp;$C$2&amp;" Sector - "&amp;""&amp;$I$1&amp;" "&amp;'EB2'!$X$23&amp;" - "&amp;'EB2'!$O$3</f>
        <v>Demand Technologies Residential Sector - Existing Other - Biomass</v>
      </c>
      <c r="Q24" s="165" t="str">
        <f t="shared" si="1"/>
        <v>PJ</v>
      </c>
      <c r="R24" s="165" t="str">
        <f t="shared" si="2"/>
        <v>PJa</v>
      </c>
      <c r="S24" s="165"/>
      <c r="T24" s="165"/>
      <c r="U24" s="165"/>
    </row>
    <row r="25" spans="2:21" ht="12.75">
      <c r="B25" t="str">
        <f>O25</f>
        <v>ROTEELC</v>
      </c>
      <c r="C25" t="str">
        <f t="shared" si="4"/>
        <v>RSDELC</v>
      </c>
      <c r="D25" t="str">
        <f>$O$7</f>
        <v>DROT</v>
      </c>
      <c r="E25" s="98">
        <f>'EB2'!$U$5*'EB2'!$U$23/(G25*H25)*1.01</f>
        <v>241.70495166666637</v>
      </c>
      <c r="F25" s="85">
        <v>1</v>
      </c>
      <c r="G25" s="85">
        <v>0.30</v>
      </c>
      <c r="H25" s="148">
        <v>1</v>
      </c>
      <c r="I25" s="58">
        <v>10</v>
      </c>
      <c r="K25" s="45">
        <f>E25*G25*H25</f>
        <v>72.511485499999907</v>
      </c>
      <c r="M25" s="165"/>
      <c r="N25" s="165"/>
      <c r="O25" s="165" t="str">
        <f>LEFT($B$2)&amp;'EB2'!$C$23&amp;$I$2&amp;'EB2'!$U$2</f>
        <v>ROTEELC</v>
      </c>
      <c r="P25" s="170" t="str">
        <f>$D$2&amp;" "&amp;$C$2&amp;" Sector - "&amp;""&amp;$I$1&amp;" "&amp;'EB2'!$X$23&amp;" - "&amp;'EB2'!$U$3</f>
        <v>Demand Technologies Residential Sector - Existing Other - Electricity</v>
      </c>
      <c r="Q25" s="165" t="str">
        <f t="shared" si="1"/>
        <v>PJ</v>
      </c>
      <c r="R25" s="165" t="str">
        <f t="shared" si="2"/>
        <v>PJa</v>
      </c>
      <c r="S25" s="165"/>
      <c r="T25" s="165"/>
      <c r="U25" s="165"/>
    </row>
    <row r="26" spans="5:21" ht="12.75">
      <c r="E26" s="23"/>
      <c r="F26" s="21"/>
      <c r="G26" s="21"/>
      <c r="H26" s="21"/>
      <c r="M26" s="5"/>
      <c r="N26" s="5"/>
      <c r="O26" s="5"/>
      <c r="P26" s="99"/>
      <c r="Q26" s="5"/>
      <c r="R26" s="5"/>
      <c r="S26" s="5"/>
      <c r="T26" s="5"/>
      <c r="U26" s="5"/>
    </row>
    <row r="27" spans="5:21" ht="12.75">
      <c r="E27" s="9"/>
      <c r="F27" s="21"/>
      <c r="G27" s="21"/>
      <c r="H27" s="21"/>
      <c r="M27" s="5"/>
      <c r="N27" s="5"/>
      <c r="O27" s="5"/>
      <c r="P27" s="26"/>
      <c r="Q27" s="5"/>
      <c r="R27" s="5"/>
      <c r="S27" s="5"/>
      <c r="T27" s="5"/>
      <c r="U27" s="5"/>
    </row>
    <row r="28" spans="2:21" ht="12.75">
      <c r="B28" s="7"/>
      <c r="D28" s="7"/>
      <c r="E28" s="23"/>
      <c r="F28" s="24"/>
      <c r="G28" s="24"/>
      <c r="H28" s="24"/>
      <c r="I28" s="7"/>
      <c r="M28" s="5"/>
      <c r="N28" s="5"/>
      <c r="O28" s="5"/>
      <c r="P28" s="26"/>
      <c r="Q28" s="5"/>
      <c r="R28" s="5"/>
      <c r="S28" s="5"/>
      <c r="T28" s="5"/>
      <c r="U28" s="5"/>
    </row>
    <row r="29" spans="2:21" ht="12.75">
      <c r="B29" s="7"/>
      <c r="E29" s="23"/>
      <c r="F29" s="24"/>
      <c r="G29" s="24"/>
      <c r="H29" s="24"/>
      <c r="I29" s="7"/>
      <c r="M29" s="5"/>
      <c r="N29" s="5"/>
      <c r="O29" s="5"/>
      <c r="P29" s="26"/>
      <c r="Q29" s="5"/>
      <c r="R29" s="5"/>
      <c r="S29" s="5"/>
      <c r="T29" s="5"/>
      <c r="U29" s="5"/>
    </row>
    <row r="30" spans="13:21" ht="12.75">
      <c r="M30" s="5"/>
      <c r="N30" s="5"/>
      <c r="O30" s="5"/>
      <c r="P30" s="5"/>
      <c r="Q30" s="5"/>
      <c r="R30" s="5"/>
      <c r="S30" s="5"/>
      <c r="T30" s="5"/>
      <c r="U30" s="5"/>
    </row>
    <row r="31" spans="13:21" ht="12.75">
      <c r="M31" s="5"/>
      <c r="N31" s="5"/>
      <c r="O31" s="5"/>
      <c r="P31" s="5"/>
      <c r="Q31" s="5"/>
      <c r="R31" s="5"/>
      <c r="S31" s="5"/>
      <c r="T31" s="5"/>
      <c r="U31" s="5"/>
    </row>
    <row r="32" spans="13:21" ht="12.75">
      <c r="M32" s="5"/>
      <c r="N32" s="5"/>
      <c r="O32" s="5"/>
      <c r="P32" s="5"/>
      <c r="Q32" s="5"/>
      <c r="R32" s="5"/>
      <c r="S32" s="5"/>
      <c r="T32" s="5"/>
      <c r="U32" s="5"/>
    </row>
    <row r="33" spans="13:21" ht="12.75">
      <c r="M33" s="5"/>
      <c r="N33" s="5"/>
      <c r="O33" s="5"/>
      <c r="P33" s="5"/>
      <c r="Q33" s="5"/>
      <c r="R33" s="5"/>
      <c r="S33" s="5"/>
      <c r="T33" s="5"/>
      <c r="U33" s="5"/>
    </row>
    <row r="34" spans="13:21" ht="12.75">
      <c r="M34" s="5"/>
      <c r="N34" s="5"/>
      <c r="O34" s="5"/>
      <c r="P34" s="5"/>
      <c r="Q34" s="5"/>
      <c r="R34" s="5"/>
      <c r="S34" s="5"/>
      <c r="T34" s="5"/>
      <c r="U34" s="5"/>
    </row>
    <row r="35" spans="13:21" ht="12.75">
      <c r="M35" s="5"/>
      <c r="N35" s="5"/>
      <c r="O35" s="5"/>
      <c r="P35" s="5"/>
      <c r="Q35" s="5"/>
      <c r="R35" s="5"/>
      <c r="S35" s="5"/>
      <c r="T35" s="5"/>
      <c r="U35" s="5"/>
    </row>
    <row r="36" spans="13:21" ht="12.75">
      <c r="M36" s="5"/>
      <c r="N36" s="5"/>
      <c r="O36" s="5"/>
      <c r="P36" s="5"/>
      <c r="Q36" s="5"/>
      <c r="R36" s="5"/>
      <c r="S36" s="5"/>
      <c r="T36" s="5"/>
      <c r="U36" s="5"/>
    </row>
    <row r="37" spans="2:3" ht="12.75">
      <c r="B37" s="58"/>
      <c r="C37" s="1" t="s">
        <v>156</v>
      </c>
    </row>
    <row r="38" spans="2:3" ht="12.75">
      <c r="B38" s="81"/>
      <c r="C38" s="1" t="s">
        <v>157</v>
      </c>
    </row>
    <row r="39" spans="10:12" ht="12.75">
      <c r="J39" s="1"/>
      <c r="K39" s="1"/>
      <c r="L39" s="10"/>
    </row>
    <row r="40" spans="10:12" ht="12.75">
      <c r="J40" s="1"/>
      <c r="K40" s="1"/>
      <c r="L40" s="10"/>
    </row>
    <row r="41" spans="10:12" ht="12.75">
      <c r="J41" s="1"/>
      <c r="K41" s="1"/>
      <c r="L41" s="10"/>
    </row>
    <row r="42" spans="10:12" ht="12.75">
      <c r="J42" s="1"/>
      <c r="K42" s="1"/>
      <c r="L42" s="10"/>
    </row>
  </sheetData>
  <pageMargins left="0.7" right="0.7" top="0.75" bottom="0.75" header="0.3" footer="0.3"/>
  <pageSetup orientation="portrait" paperSize="9" r:id="rId4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2"/>
  <sheetViews>
    <sheetView workbookViewId="0" topLeftCell="A1">
      <selection pane="topLeft" activeCell="E9" sqref="E9:E15"/>
    </sheetView>
  </sheetViews>
  <sheetFormatPr defaultRowHeight="12.75"/>
  <cols>
    <col min="1" max="1" width="2" bestFit="1" customWidth="1"/>
    <col min="2" max="2" width="12.5714285714286" customWidth="1"/>
    <col min="3" max="3" width="13.1428571428571" customWidth="1"/>
    <col min="4" max="4" width="11.5714285714286" customWidth="1"/>
    <col min="5" max="5" width="11.2857142857143" customWidth="1"/>
    <col min="6" max="6" width="2" bestFit="1" customWidth="1"/>
    <col min="7" max="7" width="11.4285714285714" bestFit="1" customWidth="1"/>
    <col min="8" max="8" width="13.5714285714286" customWidth="1"/>
    <col min="9" max="9" width="5" bestFit="1" customWidth="1"/>
  </cols>
  <sheetData>
    <row r="1" spans="2:5" ht="15">
      <c r="B1" s="11" t="s">
        <v>73</v>
      </c>
      <c r="C1" s="11" t="s">
        <v>74</v>
      </c>
      <c r="D1" s="11" t="s">
        <v>75</v>
      </c>
      <c r="E1" s="11" t="s">
        <v>77</v>
      </c>
    </row>
    <row r="2" spans="2:5" ht="15.75">
      <c r="B2" s="13" t="s">
        <v>83</v>
      </c>
      <c r="C2" s="13"/>
      <c r="D2" s="13"/>
      <c r="E2" s="13" t="str">
        <f>'EB2'!Z2</f>
        <v>PJ</v>
      </c>
    </row>
    <row r="5" spans="3:10" ht="12.75">
      <c r="C5" s="3" t="s">
        <v>13</v>
      </c>
      <c r="D5" s="3"/>
      <c r="E5" s="1"/>
      <c r="I5" s="3" t="s">
        <v>13</v>
      </c>
      <c r="J5" s="1"/>
    </row>
    <row r="6" spans="2:10" ht="12.75">
      <c r="B6" s="2" t="s">
        <v>80</v>
      </c>
      <c r="C6" s="2" t="s">
        <v>0</v>
      </c>
      <c r="D6" s="2" t="s">
        <v>149</v>
      </c>
      <c r="E6" s="96">
        <v>2005</v>
      </c>
      <c r="G6" s="2" t="s">
        <v>80</v>
      </c>
      <c r="H6" s="2" t="s">
        <v>0</v>
      </c>
      <c r="I6" s="2" t="s">
        <v>124</v>
      </c>
      <c r="J6" s="2">
        <v>2005</v>
      </c>
    </row>
    <row r="7" spans="2:10" ht="22.5">
      <c r="B7" s="20" t="s">
        <v>81</v>
      </c>
      <c r="C7" s="20" t="s">
        <v>82</v>
      </c>
      <c r="D7" s="20" t="s">
        <v>150</v>
      </c>
      <c r="E7" s="93" t="s">
        <v>36</v>
      </c>
      <c r="G7" s="20" t="s">
        <v>81</v>
      </c>
      <c r="H7" s="20" t="s">
        <v>82</v>
      </c>
      <c r="I7" s="20"/>
      <c r="J7" s="20"/>
    </row>
    <row r="8" spans="2:10" ht="13.5" thickBot="1">
      <c r="B8" s="19" t="s">
        <v>90</v>
      </c>
      <c r="C8" s="19"/>
      <c r="D8" s="19"/>
      <c r="E8" s="17" t="str">
        <f>E2</f>
        <v>PJ</v>
      </c>
      <c r="G8" s="19" t="s">
        <v>90</v>
      </c>
      <c r="H8" s="19"/>
      <c r="I8" s="19"/>
      <c r="J8" s="19"/>
    </row>
    <row r="9" spans="2:10" ht="12.75">
      <c r="B9" s="42" t="s">
        <v>35</v>
      </c>
      <c r="C9" s="1" t="str">
        <f>DemTechs_RSD!$O$5</f>
        <v>DRSH</v>
      </c>
      <c r="D9" s="42" t="s">
        <v>76</v>
      </c>
      <c r="E9" s="143">
        <f>SUM(DemTechs_RSD!K14:K19)</f>
        <v>3790.5267578999997</v>
      </c>
      <c r="G9" s="1" t="s">
        <v>125</v>
      </c>
      <c r="H9" s="1" t="str">
        <f>DemTechs_RSD!$O$5</f>
        <v>DRSH</v>
      </c>
      <c r="I9" s="41" t="s">
        <v>126</v>
      </c>
      <c r="J9" s="82">
        <v>0</v>
      </c>
    </row>
    <row r="10" spans="2:10" ht="12.75">
      <c r="B10" s="7" t="s">
        <v>35</v>
      </c>
      <c r="C10" s="1" t="str">
        <f>DemTechs_RSD!$O$6</f>
        <v>DRAP</v>
      </c>
      <c r="D10" s="28" t="s">
        <v>76</v>
      </c>
      <c r="E10" s="143">
        <f>SUM(DemTechs_RSD!K20)</f>
        <v>1305.2067390000002</v>
      </c>
      <c r="G10" s="1" t="s">
        <v>125</v>
      </c>
      <c r="H10" s="1" t="str">
        <f>DemTechs_RSD!$O$5</f>
        <v>DRSH</v>
      </c>
      <c r="I10" s="41" t="s">
        <v>127</v>
      </c>
      <c r="J10" s="82">
        <v>0</v>
      </c>
    </row>
    <row r="11" spans="2:10" ht="12.75">
      <c r="B11" s="31" t="s">
        <v>35</v>
      </c>
      <c r="C11" s="43" t="str">
        <f>DemTechs_RSD!$O$7</f>
        <v>DROT</v>
      </c>
      <c r="D11" s="43" t="s">
        <v>76</v>
      </c>
      <c r="E11" s="144">
        <f>SUM(DemTechs_RSD!K21:K25)</f>
        <v>1115.4324960999998</v>
      </c>
      <c r="G11" s="1" t="s">
        <v>125</v>
      </c>
      <c r="H11" s="1" t="str">
        <f>DemTechs_RSD!$O$5</f>
        <v>DRSH</v>
      </c>
      <c r="I11" s="41" t="s">
        <v>128</v>
      </c>
      <c r="J11" s="82">
        <f>1-J9-J10-J12</f>
        <v>0.59999999999999998</v>
      </c>
    </row>
    <row r="12" spans="2:10" ht="12.75">
      <c r="B12" s="10" t="s">
        <v>35</v>
      </c>
      <c r="C12" s="1" t="str">
        <f>DemTechs_COM!$O$5</f>
        <v>DCSH</v>
      </c>
      <c r="D12" s="10" t="s">
        <v>76</v>
      </c>
      <c r="E12" s="143">
        <f>SUM(DemTechs_COM!K14:K19)</f>
        <v>1376.0600115500004</v>
      </c>
      <c r="G12" s="43" t="s">
        <v>125</v>
      </c>
      <c r="H12" s="43" t="str">
        <f>DemTechs_RSD!$O$5</f>
        <v>DRSH</v>
      </c>
      <c r="I12" s="44" t="s">
        <v>129</v>
      </c>
      <c r="J12" s="88">
        <v>0.40</v>
      </c>
    </row>
    <row r="13" spans="2:10" ht="12.75">
      <c r="B13" s="7" t="s">
        <v>35</v>
      </c>
      <c r="C13" s="1" t="str">
        <f>DemTechs_COM!$O$6</f>
        <v>DCAP</v>
      </c>
      <c r="D13" s="28" t="s">
        <v>76</v>
      </c>
      <c r="E13" s="143">
        <f>SUM(DemTechs_COM!K20)</f>
        <v>1148.6992095000001</v>
      </c>
      <c r="G13" s="1" t="s">
        <v>125</v>
      </c>
      <c r="H13" s="1" t="str">
        <f>DemTechs_RSD!$O$6</f>
        <v>DRAP</v>
      </c>
      <c r="I13" s="41" t="s">
        <v>126</v>
      </c>
      <c r="J13" s="140">
        <v>0.30</v>
      </c>
    </row>
    <row r="14" spans="2:10" ht="12.75">
      <c r="B14" s="31" t="s">
        <v>35</v>
      </c>
      <c r="C14" s="43" t="str">
        <f>DemTechs_COM!$O$7</f>
        <v>DCOT</v>
      </c>
      <c r="D14" s="43" t="s">
        <v>76</v>
      </c>
      <c r="E14" s="144">
        <f>SUM(DemTechs_COM!K21:K25)</f>
        <v>285.62865144999989</v>
      </c>
      <c r="G14" s="1" t="s">
        <v>125</v>
      </c>
      <c r="H14" s="1" t="str">
        <f>DemTechs_RSD!$O$6</f>
        <v>DRAP</v>
      </c>
      <c r="I14" s="41" t="s">
        <v>127</v>
      </c>
      <c r="J14" s="140">
        <v>0.25</v>
      </c>
    </row>
    <row r="15" spans="2:11" ht="12.75">
      <c r="B15" s="31" t="s">
        <v>35</v>
      </c>
      <c r="C15" s="43" t="str">
        <f>DemTechs_AGR!N5</f>
        <v>DAOT</v>
      </c>
      <c r="D15" s="43" t="s">
        <v>76</v>
      </c>
      <c r="E15" s="145">
        <f>SUM('EB2'!D8:E8,'EB2'!G8:J8,'EB2'!L8:M8,'EB2'!O8,'EB2'!U8)</f>
        <v>560.30909999999994</v>
      </c>
      <c r="G15" s="1" t="s">
        <v>125</v>
      </c>
      <c r="H15" s="1" t="str">
        <f>DemTechs_RSD!$O$6</f>
        <v>DRAP</v>
      </c>
      <c r="I15" s="41" t="s">
        <v>128</v>
      </c>
      <c r="J15" s="140">
        <v>0.20</v>
      </c>
      <c r="K15" s="21"/>
    </row>
    <row r="16" spans="7:10" ht="12.75">
      <c r="G16" s="43" t="s">
        <v>125</v>
      </c>
      <c r="H16" s="43" t="str">
        <f>DemTechs_RSD!$O$6</f>
        <v>DRAP</v>
      </c>
      <c r="I16" s="44" t="s">
        <v>129</v>
      </c>
      <c r="J16" s="88">
        <v>0.20</v>
      </c>
    </row>
    <row r="17" spans="5:10" ht="12.75">
      <c r="E17" s="9"/>
      <c r="G17" s="1" t="s">
        <v>125</v>
      </c>
      <c r="H17" s="1" t="str">
        <f>DemTechs_RSD!$O$7</f>
        <v>DROT</v>
      </c>
      <c r="I17" s="41" t="s">
        <v>126</v>
      </c>
      <c r="J17" s="140">
        <v>0.25</v>
      </c>
    </row>
    <row r="18" spans="7:10" ht="12.75">
      <c r="G18" s="1" t="s">
        <v>125</v>
      </c>
      <c r="H18" s="1" t="str">
        <f>DemTechs_RSD!$O$7</f>
        <v>DROT</v>
      </c>
      <c r="I18" s="41" t="s">
        <v>127</v>
      </c>
      <c r="J18" s="140">
        <v>0.25</v>
      </c>
    </row>
    <row r="19" spans="7:10" ht="12.75">
      <c r="G19" s="1" t="s">
        <v>125</v>
      </c>
      <c r="H19" s="1" t="str">
        <f>DemTechs_RSD!$O$7</f>
        <v>DROT</v>
      </c>
      <c r="I19" s="41" t="s">
        <v>128</v>
      </c>
      <c r="J19" s="140">
        <v>0.25</v>
      </c>
    </row>
    <row r="20" spans="7:10" ht="12.75">
      <c r="G20" s="43" t="s">
        <v>125</v>
      </c>
      <c r="H20" s="43" t="str">
        <f>DemTechs_RSD!$O$7</f>
        <v>DROT</v>
      </c>
      <c r="I20" s="44" t="s">
        <v>129</v>
      </c>
      <c r="J20" s="88">
        <v>0.25</v>
      </c>
    </row>
    <row r="21" spans="7:10" ht="12.75">
      <c r="G21" s="1" t="s">
        <v>125</v>
      </c>
      <c r="H21" s="1" t="str">
        <f>DemTechs_COM!$O$5</f>
        <v>DCSH</v>
      </c>
      <c r="I21" s="41" t="s">
        <v>126</v>
      </c>
      <c r="J21" s="82">
        <v>0.10</v>
      </c>
    </row>
    <row r="22" spans="7:10" ht="12.75">
      <c r="G22" s="1" t="s">
        <v>125</v>
      </c>
      <c r="H22" s="1" t="str">
        <f>DemTechs_COM!$O$5</f>
        <v>DCSH</v>
      </c>
      <c r="I22" s="41" t="s">
        <v>127</v>
      </c>
      <c r="J22" s="82">
        <v>0.10</v>
      </c>
    </row>
    <row r="23" spans="7:10" ht="12.75">
      <c r="G23" s="1" t="s">
        <v>125</v>
      </c>
      <c r="H23" s="1" t="str">
        <f>DemTechs_COM!$O$5</f>
        <v>DCSH</v>
      </c>
      <c r="I23" s="41" t="s">
        <v>128</v>
      </c>
      <c r="J23" s="82">
        <f>1-J21-J22-J24</f>
        <v>0.40000000000000002</v>
      </c>
    </row>
    <row r="24" spans="7:10" ht="12.75">
      <c r="G24" s="43" t="s">
        <v>125</v>
      </c>
      <c r="H24" s="43" t="str">
        <f>DemTechs_COM!$O$5</f>
        <v>DCSH</v>
      </c>
      <c r="I24" s="44" t="s">
        <v>129</v>
      </c>
      <c r="J24" s="88">
        <v>0.40</v>
      </c>
    </row>
    <row r="25" spans="7:10" ht="12.75">
      <c r="G25" s="1" t="s">
        <v>125</v>
      </c>
      <c r="H25" s="1" t="str">
        <f>DemTechs_COM!$O$6</f>
        <v>DCAP</v>
      </c>
      <c r="I25" s="41" t="s">
        <v>126</v>
      </c>
      <c r="J25" s="140">
        <v>0.25</v>
      </c>
    </row>
    <row r="26" spans="7:10" ht="12.75">
      <c r="G26" s="1" t="s">
        <v>125</v>
      </c>
      <c r="H26" s="1" t="str">
        <f>DemTechs_COM!$O$6</f>
        <v>DCAP</v>
      </c>
      <c r="I26" s="41" t="s">
        <v>127</v>
      </c>
      <c r="J26" s="140">
        <v>0.25</v>
      </c>
    </row>
    <row r="27" spans="7:10" ht="12.75">
      <c r="G27" s="1" t="s">
        <v>125</v>
      </c>
      <c r="H27" s="1" t="str">
        <f>DemTechs_COM!$O$6</f>
        <v>DCAP</v>
      </c>
      <c r="I27" s="41" t="s">
        <v>128</v>
      </c>
      <c r="J27" s="140">
        <v>0.25</v>
      </c>
    </row>
    <row r="28" spans="7:10" ht="12.75">
      <c r="G28" s="43" t="s">
        <v>125</v>
      </c>
      <c r="H28" s="43" t="str">
        <f>DemTechs_COM!$O$6</f>
        <v>DCAP</v>
      </c>
      <c r="I28" s="44" t="s">
        <v>129</v>
      </c>
      <c r="J28" s="88">
        <v>0.25</v>
      </c>
    </row>
    <row r="29" spans="7:10" ht="12.75">
      <c r="G29" s="1" t="s">
        <v>125</v>
      </c>
      <c r="H29" s="1" t="str">
        <f>DemTechs_COM!$O$7</f>
        <v>DCOT</v>
      </c>
      <c r="I29" s="41" t="s">
        <v>126</v>
      </c>
      <c r="J29" s="140">
        <v>0.25</v>
      </c>
    </row>
    <row r="30" spans="2:10" ht="12.75">
      <c r="B30" s="58"/>
      <c r="C30" s="1" t="s">
        <v>156</v>
      </c>
      <c r="G30" s="1" t="s">
        <v>125</v>
      </c>
      <c r="H30" s="1" t="str">
        <f>DemTechs_COM!$O$7</f>
        <v>DCOT</v>
      </c>
      <c r="I30" s="41" t="s">
        <v>127</v>
      </c>
      <c r="J30" s="140">
        <v>0.25</v>
      </c>
    </row>
    <row r="31" spans="2:10" ht="12.75">
      <c r="B31" s="81"/>
      <c r="C31" s="1" t="s">
        <v>157</v>
      </c>
      <c r="G31" s="1" t="s">
        <v>125</v>
      </c>
      <c r="H31" s="1" t="str">
        <f>DemTechs_COM!$O$7</f>
        <v>DCOT</v>
      </c>
      <c r="I31" s="41" t="s">
        <v>128</v>
      </c>
      <c r="J31" s="140">
        <v>0.25</v>
      </c>
    </row>
    <row r="32" spans="7:10" ht="12.75">
      <c r="G32" s="28" t="s">
        <v>125</v>
      </c>
      <c r="H32" s="28" t="str">
        <f>DemTechs_COM!$O$7</f>
        <v>DCOT</v>
      </c>
      <c r="I32" s="141" t="s">
        <v>129</v>
      </c>
      <c r="J32" s="140">
        <v>0.25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3:O24"/>
  <sheetViews>
    <sheetView workbookViewId="0" topLeftCell="A1">
      <selection pane="topLeft" activeCell="K25" sqref="K25"/>
    </sheetView>
  </sheetViews>
  <sheetFormatPr defaultRowHeight="12.75"/>
  <cols>
    <col min="2" max="2" width="19.1428571428571" customWidth="1"/>
    <col min="4" max="4" width="8.85714285714286" bestFit="1" customWidth="1"/>
    <col min="7" max="7" width="17.4285714285714" bestFit="1" customWidth="1"/>
    <col min="8" max="9" width="9.28571428571429" bestFit="1" customWidth="1"/>
    <col min="10" max="10" width="8.42857142857143" bestFit="1" customWidth="1"/>
    <col min="12" max="12" width="17.4285714285714" bestFit="1" customWidth="1"/>
    <col min="13" max="14" width="9" bestFit="1" customWidth="1"/>
    <col min="15" max="15" width="8.14285714285714" bestFit="1" customWidth="1"/>
  </cols>
  <sheetData>
    <row r="3" spans="2:12" ht="17.45" customHeight="1">
      <c r="B3" s="48" t="s">
        <v>162</v>
      </c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2:7" s="5" customFormat="1" ht="17.45" customHeight="1">
      <c r="B4" s="49"/>
      <c r="C4" s="49"/>
      <c r="D4" s="49"/>
      <c r="E4" s="49"/>
      <c r="F4" s="49"/>
      <c r="G4" s="49"/>
    </row>
    <row r="5" spans="2:12" ht="12.75">
      <c r="B5" s="47" t="s">
        <v>148</v>
      </c>
      <c r="G5" s="47" t="s">
        <v>148</v>
      </c>
      <c r="L5" s="47" t="s">
        <v>148</v>
      </c>
    </row>
    <row r="6" spans="2:15" ht="13.5" thickBot="1">
      <c r="B6" s="50" t="s">
        <v>0</v>
      </c>
      <c r="C6" s="142" t="str">
        <f>Sector_Fuels_AGR!$L$5</f>
        <v>AGRCOA</v>
      </c>
      <c r="D6" s="142" t="str">
        <f>Sector_Fuels_AGR!$L$6</f>
        <v>AGRGAS</v>
      </c>
      <c r="E6" s="142" t="str">
        <f>Sector_Fuels_AGR!$L$7</f>
        <v>AGROIL</v>
      </c>
      <c r="F6" s="1"/>
      <c r="G6" s="50" t="s">
        <v>0</v>
      </c>
      <c r="H6" s="142" t="str">
        <f>Sector_Fuels_COM!$L$5</f>
        <v>COMCOA</v>
      </c>
      <c r="I6" s="142" t="str">
        <f>Sector_Fuels_COM!$L$6</f>
        <v>COMGAS</v>
      </c>
      <c r="J6" s="142" t="str">
        <f>Sector_Fuels_COM!$L$7</f>
        <v>COMOIL</v>
      </c>
      <c r="L6" s="50" t="s">
        <v>0</v>
      </c>
      <c r="M6" s="142" t="str">
        <f>Sector_Fuels_RSD!$L$5</f>
        <v>RSDCOA</v>
      </c>
      <c r="N6" s="142" t="str">
        <f>Sector_Fuels_RSD!$L$6</f>
        <v>RSDGAS</v>
      </c>
      <c r="O6" s="142" t="str">
        <f>Sector_Fuels_RSD!$L$7</f>
        <v>RSDOIL</v>
      </c>
    </row>
    <row r="7" spans="2:15" ht="13.5" thickBot="1">
      <c r="B7" s="19" t="s">
        <v>90</v>
      </c>
      <c r="C7" s="19" t="s">
        <v>155</v>
      </c>
      <c r="D7" s="19" t="s">
        <v>155</v>
      </c>
      <c r="E7" s="19" t="s">
        <v>155</v>
      </c>
      <c r="F7" s="1"/>
      <c r="G7" s="19" t="s">
        <v>90</v>
      </c>
      <c r="H7" s="19" t="s">
        <v>155</v>
      </c>
      <c r="I7" s="19" t="s">
        <v>155</v>
      </c>
      <c r="J7" s="19" t="s">
        <v>155</v>
      </c>
      <c r="L7" s="19" t="s">
        <v>90</v>
      </c>
      <c r="M7" s="19" t="s">
        <v>155</v>
      </c>
      <c r="N7" s="19" t="s">
        <v>155</v>
      </c>
      <c r="O7" s="19" t="s">
        <v>155</v>
      </c>
    </row>
    <row r="8" spans="2:15" ht="12.75">
      <c r="B8" t="str">
        <f>DemTechs_AGR!$N$6</f>
        <v>AGRCO2</v>
      </c>
      <c r="C8" s="85">
        <v>95</v>
      </c>
      <c r="D8" s="86">
        <v>56.10</v>
      </c>
      <c r="E8" s="85">
        <v>76.400000000000006</v>
      </c>
      <c r="F8" s="1"/>
      <c r="G8" t="str">
        <f>DemTechs_COM!$O$8</f>
        <v>COMCO2</v>
      </c>
      <c r="H8" s="85">
        <v>95</v>
      </c>
      <c r="I8" s="86">
        <v>56.10</v>
      </c>
      <c r="J8" s="85">
        <v>76.400000000000006</v>
      </c>
      <c r="L8" t="str">
        <f>DemTechs_RSD!$O$8</f>
        <v>RSDCO2</v>
      </c>
      <c r="M8" s="85">
        <v>95</v>
      </c>
      <c r="N8" s="86">
        <v>56.10</v>
      </c>
      <c r="O8" s="85">
        <v>76.400000000000006</v>
      </c>
    </row>
    <row r="23" spans="2:3" ht="12.75">
      <c r="B23" s="58"/>
      <c r="C23" s="1" t="s">
        <v>156</v>
      </c>
    </row>
    <row r="24" spans="2:3" ht="12.75">
      <c r="B24" s="81"/>
      <c r="C24" s="1" t="s">
        <v>157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EB2</vt:lpstr>
      <vt:lpstr>RES_RCA</vt:lpstr>
      <vt:lpstr>Sector_Fuels_AGR</vt:lpstr>
      <vt:lpstr>DemTechs_AGR</vt:lpstr>
      <vt:lpstr>Sector_Fuels_COM</vt:lpstr>
      <vt:lpstr>DemTechs_COM</vt:lpstr>
      <vt:lpstr>Sector_Fuels_RSD</vt:lpstr>
      <vt:lpstr>DemTechs_RSD</vt:lpstr>
      <vt:lpstr>Demands</vt:lpstr>
      <vt:lpstr>Emi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cp:lastPrinted>2004-11-16T14:57:57Z</cp:lastPrinted>
  <dcterms:created xsi:type="dcterms:W3CDTF">2000-12-13T15:53:11Z</dcterms:created>
  <dcterms:modified xsi:type="dcterms:W3CDTF">2020-06-02T08:53:55Z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961101710796356</vt:r8>
  </property>
  <property fmtid="{D5CDD505-2E9C-101B-9397-08002B2CF9AE}" pid="3" name="VedaExternalLinksUpdated">
    <vt:lpwstr>2026-08-26T09:42:40.1451079Z</vt:lpwstr>
  </property>
</Properties>
</file>